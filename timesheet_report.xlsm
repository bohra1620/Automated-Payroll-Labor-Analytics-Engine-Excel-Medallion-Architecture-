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4.xml" ContentType="application/vnd.openxmlformats-officedocument.spreadsheetml.pivotCacheDefinition+xml"/>
  <Override PartName="/xl/pivotTables/pivotTable1.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E:\project_portfolio\payroll_pipeline\"/>
    </mc:Choice>
  </mc:AlternateContent>
  <xr:revisionPtr revIDLastSave="0" documentId="13_ncr:1_{E77631DD-A376-4659-AD61-8BA5103F7CE8}" xr6:coauthVersionLast="47" xr6:coauthVersionMax="47" xr10:uidLastSave="{00000000-0000-0000-0000-000000000000}"/>
  <bookViews>
    <workbookView xWindow="-120" yWindow="-120" windowWidth="29040" windowHeight="15720" xr2:uid="{90C064FD-7437-4DD1-AA60-A8DEEFAAF8E5}"/>
  </bookViews>
  <sheets>
    <sheet name="Executive Dashboard" sheetId="1" r:id="rId1"/>
    <sheet name="Payroll_Report" sheetId="2" r:id="rId2"/>
    <sheet name="Sheet3" sheetId="3" state="hidden" r:id="rId3"/>
  </sheets>
  <definedNames>
    <definedName name="Slicer_Day_Name">#N/A</definedName>
    <definedName name="Slicer_Department">#N/A</definedName>
  </definedNames>
  <calcPr calcId="191029"/>
  <pivotCaches>
    <pivotCache cacheId="880" r:id="rId4"/>
    <pivotCache cacheId="883" r:id="rId5"/>
    <pivotCache cacheId="886" r:id="rId6"/>
    <pivotCache cacheId="889" r:id="rId7"/>
    <pivotCache cacheId="892" r:id="rId8"/>
    <pivotCache cacheId="895" r:id="rId9"/>
    <pivotCache cacheId="898" r:id="rId10"/>
    <pivotCache cacheId="904" r:id="rId11"/>
    <pivotCache cacheId="907" r:id="rId12"/>
    <pivotCache cacheId="910" r:id="rId13"/>
    <pivotCache cacheId="913" r:id="rId14"/>
    <pivotCache cacheId="916" r:id="rId15"/>
  </pivotCaches>
  <extLst>
    <ext xmlns:x14="http://schemas.microsoft.com/office/spreadsheetml/2009/9/main" uri="{876F7934-8845-4945-9796-88D515C7AA90}">
      <x14:pivotCaches>
        <pivotCache cacheId="643" r:id="rId16"/>
      </x14:pivotCaches>
    </ex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841E416B-1EF1-43b6-AB56-02D37102CBD5}">
      <x15:pivotCaches>
        <pivotCache cacheId="940" r:id="rId19"/>
      </x15:pivotCaches>
    </ext>
    <ext xmlns:x15="http://schemas.microsoft.com/office/spreadsheetml/2010/11/main" uri="{983426D0-5260-488c-9760-48F4B6AC55F4}">
      <x15:pivotTableReferences>
        <x15:pivotTableReference r:id="rId20"/>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_Timesheets_2fe56a9e-f8c0-434d-bea4-86ba6bb827c4" name="Fact_Timesheets" connection="Query - Fact_Timesheets"/>
          <x15:modelTable id="Dim_Employee_58bd44e9-de49-4fe6-b160-b980bf839dcc" name="Dim_Employee" connection="Query - Dim_Employee"/>
        </x15:modelTables>
        <x15:modelRelationships>
          <x15:modelRelationship fromTable="Fact_Timesheets" fromColumn="Employee_ID" toTable="Dim_Employee" toColumn="Emp_ID"/>
        </x15:modelRelationships>
        <x15:extLst>
          <ext xmlns:x16="http://schemas.microsoft.com/office/spreadsheetml/2014/11/main" uri="{9835A34E-60A6-4A7C-AAB8-D5F71C897F49}">
            <x16:modelTimeGroupings>
              <x16:modelTimeGrouping tableName="Fact_Timesheets" columnName="Shift_Date" columnId="Shift_Date">
                <x16:calculatedTimeColumn columnName="Shift_Date (Month Index)" columnId="Shift_Date (Month Index)" contentType="monthsindex" isSelected="0"/>
                <x16:calculatedTimeColumn columnName="Shift_Date (Month)" columnId="Shift_Date (Month)" contentType="months" isSelected="0"/>
                <x16:calculatedTimeColumn columnName="Shift_Date (Day Index)" columnId="Shift_Date (Day Index)" contentType="daysindex" isSelected="1"/>
                <x16:calculatedTimeColumn columnName="Shift_Date (Day)" columnId="Shift_Date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I4" i="3" l="1"/>
  <c r="F4" i="3"/>
  <c r="I3" i="3"/>
  <c r="F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3C9B2AE-4AA0-4012-806A-9E8271036E60}" name="Query - Dim_Employee" description="Connection to the 'Dim_Employee' query in the workbook." type="100" refreshedVersion="8" minRefreshableVersion="5">
    <extLst>
      <ext xmlns:x15="http://schemas.microsoft.com/office/spreadsheetml/2010/11/main" uri="{DE250136-89BD-433C-8126-D09CA5730AF9}">
        <x15:connection id="2ee50b77-340c-4524-a941-5361ae593594"/>
      </ext>
    </extLst>
  </connection>
  <connection id="2" xr16:uid="{6509E186-98CC-4453-92C4-C0647C647F82}" name="Query - Fact_Timesheets" description="Connection to the 'Fact_Timesheets' query in the workbook." type="100" refreshedVersion="8" minRefreshableVersion="5">
    <extLst>
      <ext xmlns:x15="http://schemas.microsoft.com/office/spreadsheetml/2010/11/main" uri="{DE250136-89BD-433C-8126-D09CA5730AF9}">
        <x15:connection id="3829f680-1198-4e81-a154-4fac21e81836"/>
      </ext>
    </extLst>
  </connection>
  <connection id="3" xr16:uid="{974FAB85-B087-4F6F-A0A9-DCED16BA659B}" keepAlive="1" name="Query - Parameter1" description="Connection to the 'Parameter1' query in the workbook." type="5" refreshedVersion="0">
    <dbPr connection="Provider=Microsoft.Mashup.OleDb.1;Data Source=$Workbook$;Location=Parameter1;Extended Properties=&quot;&quot;" command="SELECT * FROM [Parameter1]"/>
  </connection>
  <connection id="4" xr16:uid="{E300EE18-C419-4E45-BFD2-13B61C54F0A8}" keepAlive="1" name="Query - Sample File" description="Connection to the 'Sample File' query in the workbook." type="5" refreshedVersion="0">
    <dbPr connection="Provider=Microsoft.Mashup.OleDb.1;Data Source=$Workbook$;Location=&quot;Sample File&quot;;Extended Properties=&quot;&quot;" command="SELECT * FROM [Sample File]"/>
  </connection>
  <connection id="5" xr16:uid="{14699752-F0E2-44E4-A701-4F8CF7DA4B88}" keepAlive="1" name="Query - Transform File" description="Connection to the 'Transform File' query in the workbook." type="5" refreshedVersion="0">
    <dbPr connection="Provider=Microsoft.Mashup.OleDb.1;Data Source=$Workbook$;Location=&quot;Transform File&quot;;Extended Properties=&quot;&quot;" command="SELECT * FROM [Transform File]"/>
  </connection>
  <connection id="6" xr16:uid="{C83D98B6-7A95-4EA3-B843-F0DCB218C208}" keepAlive="1" name="Query - Transform Sample File" description="Connection to the 'Transform Sample File' query in the workbook." type="5" refreshedVersion="0">
    <dbPr connection="Provider=Microsoft.Mashup.OleDb.1;Data Source=$Workbook$;Location=&quot;Transform Sample File&quot;;Extended Properties=&quot;&quot;" command="SELECT * FROM [Transform Sample File]"/>
  </connection>
  <connection id="7" xr16:uid="{0858CFE0-126F-459C-A4BC-E622B5CDE5E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Fact_Timesheets].[Exception_Flag].&amp;[Missing Punch]}"/>
  </metadataStrings>
  <mdxMetadata count="1">
    <mdx n="0" f="s">
      <ms ns="1" c="0"/>
    </mdx>
  </mdxMetadata>
  <valueMetadata count="1">
    <bk>
      <rc t="1" v="0"/>
    </bk>
  </valueMetadata>
</metadata>
</file>

<file path=xl/sharedStrings.xml><?xml version="1.0" encoding="utf-8"?>
<sst xmlns="http://schemas.openxmlformats.org/spreadsheetml/2006/main" count="184" uniqueCount="86">
  <si>
    <t>Aashi Thaman</t>
  </si>
  <si>
    <t>Aayush Bhavsar</t>
  </si>
  <si>
    <t>Alexander Bera</t>
  </si>
  <si>
    <t>Alka Ratta</t>
  </si>
  <si>
    <t>Anirudh Modi</t>
  </si>
  <si>
    <t>Avni Bhandari</t>
  </si>
  <si>
    <t>Azad Khalsa</t>
  </si>
  <si>
    <t>Bachittar Dora</t>
  </si>
  <si>
    <t>Balvan Krishnan</t>
  </si>
  <si>
    <t>Barkha Randhawa</t>
  </si>
  <si>
    <t>Bhanumati Bakshi</t>
  </si>
  <si>
    <t>Brinda Handa</t>
  </si>
  <si>
    <t>Chaitanya Tella</t>
  </si>
  <si>
    <t>Dalbir Madan</t>
  </si>
  <si>
    <t>Darika Memon</t>
  </si>
  <si>
    <t>David Sarkar</t>
  </si>
  <si>
    <t>Dhriti Loke</t>
  </si>
  <si>
    <t>Ekaja Nayar</t>
  </si>
  <si>
    <t>Faraj Choudhury</t>
  </si>
  <si>
    <t>Ganga Mall</t>
  </si>
  <si>
    <t>Guneet Raghavan</t>
  </si>
  <si>
    <t>Hamsini Minhas</t>
  </si>
  <si>
    <t>Ikbal Chokshi</t>
  </si>
  <si>
    <t>Ishanvi Mohanty</t>
  </si>
  <si>
    <t>Jack Sinha</t>
  </si>
  <si>
    <t>Jagdish Swaminathan</t>
  </si>
  <si>
    <t>Jagrati Goswami</t>
  </si>
  <si>
    <t>Jasmit Chand</t>
  </si>
  <si>
    <t>Kalpit Kaur</t>
  </si>
  <si>
    <t>Keya Mall</t>
  </si>
  <si>
    <t>Liam Ramakrishnan</t>
  </si>
  <si>
    <t>Lipika Kohli</t>
  </si>
  <si>
    <t>Max Balan</t>
  </si>
  <si>
    <t>Megha Sule</t>
  </si>
  <si>
    <t>Mugdha Kale</t>
  </si>
  <si>
    <t>Nidhi Magar</t>
  </si>
  <si>
    <t>Nirja Setty</t>
  </si>
  <si>
    <t>Noah Bhatt</t>
  </si>
  <si>
    <t>Oscar Sengupta</t>
  </si>
  <si>
    <t>Pahal Nanda</t>
  </si>
  <si>
    <t>Reva Kohli</t>
  </si>
  <si>
    <t>Reva Soman</t>
  </si>
  <si>
    <t>Ridhi Khare</t>
  </si>
  <si>
    <t>Rohan Choudhary</t>
  </si>
  <si>
    <t>Sanya Sarna</t>
  </si>
  <si>
    <t>Saumya Sehgal</t>
  </si>
  <si>
    <t>Sneha Chauhan</t>
  </si>
  <si>
    <t>Tripti Chacko</t>
  </si>
  <si>
    <t>Umang Parmer</t>
  </si>
  <si>
    <t>Unnati Bala</t>
  </si>
  <si>
    <t>Utkarsh Bandi</t>
  </si>
  <si>
    <t>Vasatika Lata</t>
  </si>
  <si>
    <t>Warhi Chowdhury</t>
  </si>
  <si>
    <t>Warinder Manda</t>
  </si>
  <si>
    <t>Wazir Prabhu</t>
  </si>
  <si>
    <t>Wazir Shenoy</t>
  </si>
  <si>
    <t>Wishi Raman</t>
  </si>
  <si>
    <t>Xavier Dave</t>
  </si>
  <si>
    <t>Yamini Handa</t>
  </si>
  <si>
    <t>Zayyan Vasa</t>
  </si>
  <si>
    <t>Grand Total</t>
  </si>
  <si>
    <t>Total Pay</t>
  </si>
  <si>
    <t>Employee Names</t>
  </si>
  <si>
    <t>Logistics</t>
  </si>
  <si>
    <t>Management</t>
  </si>
  <si>
    <t>Operations</t>
  </si>
  <si>
    <t>Sales</t>
  </si>
  <si>
    <t>Support</t>
  </si>
  <si>
    <t>Overtime Hours</t>
  </si>
  <si>
    <t>Department</t>
  </si>
  <si>
    <t xml:space="preserve"> </t>
  </si>
  <si>
    <t>Total Gross Pay</t>
  </si>
  <si>
    <t>Row Labels</t>
  </si>
  <si>
    <t>Gross Overtime Hours</t>
  </si>
  <si>
    <t>Missing Punch</t>
  </si>
  <si>
    <t>Exception_Flag</t>
  </si>
  <si>
    <t>Gros Over Time Hours</t>
  </si>
  <si>
    <t>Avg Hourly Pay</t>
  </si>
  <si>
    <t>Average of Daily_Pay</t>
  </si>
  <si>
    <t>Gross Hrs</t>
  </si>
  <si>
    <t>Sum of Hours_Worked</t>
  </si>
  <si>
    <t>Avg. Hourly Rate</t>
  </si>
  <si>
    <t>Gross Hours</t>
  </si>
  <si>
    <t>Gross OT Hours</t>
  </si>
  <si>
    <t>Deparment</t>
  </si>
  <si>
    <t>Total Hours Worked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</si>
</sst>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164" formatCode="\$#,##0.00;\(\$#,##0.00\);\$#,##0.00"/>
    <numFmt numFmtId="165" formatCode="_-[$$-409]* #,##0.00_ ;_-[$$-409]* \-#,##0.00\ ;_-[$$-409]* &quot;-&quot;??_ ;_-@_ "/>
  </numFmts>
  <fonts count="3" x14ac:knownFonts="1">
    <font>
      <sz val="11"/>
      <color theme="1"/>
      <name val="Aptos Narrow"/>
      <family val="2"/>
      <scheme val="minor"/>
    </font>
    <font>
      <sz val="11"/>
      <color theme="1"/>
      <name val="Aptos Narrow"/>
      <family val="2"/>
      <scheme val="minor"/>
    </font>
    <font>
      <b/>
      <sz val="11"/>
      <color theme="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theme="2" tint="-9.9978637043366805E-2"/>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35">
    <xf numFmtId="0" fontId="0" fillId="0" borderId="0" xfId="0"/>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165" fontId="0" fillId="0" borderId="0" xfId="1" applyNumberFormat="1" applyFont="1"/>
    <xf numFmtId="0" fontId="2" fillId="2" borderId="10" xfId="0" applyFont="1" applyFill="1" applyBorder="1"/>
    <xf numFmtId="165" fontId="0" fillId="0" borderId="11" xfId="1" applyNumberFormat="1" applyFont="1"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0" fillId="0" borderId="0" xfId="0" applyNumberFormat="1"/>
    <xf numFmtId="0" fontId="0" fillId="0" borderId="1" xfId="0" pivotButton="1" applyFont="1" applyBorder="1" applyAlignment="1">
      <alignment horizontal="center"/>
    </xf>
    <xf numFmtId="0" fontId="0" fillId="0" borderId="1" xfId="0" applyFont="1" applyBorder="1" applyAlignment="1">
      <alignment horizontal="center"/>
    </xf>
    <xf numFmtId="0" fontId="0" fillId="0" borderId="1" xfId="0" applyFont="1" applyBorder="1" applyAlignment="1">
      <alignment horizontal="left"/>
    </xf>
    <xf numFmtId="164" fontId="0" fillId="0" borderId="1" xfId="0" applyNumberFormat="1" applyFont="1" applyBorder="1"/>
    <xf numFmtId="0" fontId="0" fillId="0" borderId="1" xfId="0" pivotButton="1" applyBorder="1"/>
    <xf numFmtId="0" fontId="0" fillId="0" borderId="1" xfId="0" applyBorder="1"/>
    <xf numFmtId="2" fontId="0" fillId="0" borderId="1" xfId="0" applyNumberFormat="1" applyBorder="1"/>
    <xf numFmtId="0" fontId="0" fillId="0" borderId="1" xfId="0" applyBorder="1" applyAlignment="1">
      <alignment horizontal="center" vertical="center"/>
    </xf>
    <xf numFmtId="0" fontId="0" fillId="3" borderId="0" xfId="0" applyFill="1" applyBorder="1"/>
    <xf numFmtId="0" fontId="0" fillId="4" borderId="1" xfId="0" applyFill="1" applyBorder="1" applyAlignment="1">
      <alignment horizontal="left"/>
    </xf>
    <xf numFmtId="2" fontId="0" fillId="4" borderId="1" xfId="0" applyNumberFormat="1" applyFill="1" applyBorder="1"/>
    <xf numFmtId="0" fontId="0" fillId="4" borderId="1" xfId="0" applyNumberFormat="1" applyFill="1" applyBorder="1"/>
    <xf numFmtId="164" fontId="0" fillId="4" borderId="1" xfId="0" applyNumberFormat="1" applyFill="1" applyBorder="1"/>
    <xf numFmtId="0" fontId="2" fillId="3" borderId="5" xfId="0" applyFont="1" applyFill="1" applyBorder="1" applyAlignment="1">
      <alignment horizontal="left" vertical="center"/>
    </xf>
    <xf numFmtId="0" fontId="0" fillId="3" borderId="0" xfId="0" applyFill="1" applyBorder="1" applyAlignment="1">
      <alignment horizontal="left" vertical="center"/>
    </xf>
    <xf numFmtId="0" fontId="0" fillId="3" borderId="5" xfId="0" applyFill="1" applyBorder="1" applyAlignment="1">
      <alignment horizontal="left" vertical="center"/>
    </xf>
  </cellXfs>
  <cellStyles count="2">
    <cellStyle name="Currency" xfId="1" builtinId="4"/>
    <cellStyle name="Normal" xfId="0" builtinId="0"/>
  </cellStyles>
  <dxfs count="71">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alignment horizont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val="0"/>
      </font>
    </dxf>
    <dxf>
      <font>
        <b val="0"/>
      </font>
    </dxf>
    <dxf>
      <font>
        <b val="0"/>
      </font>
    </dxf>
    <dxf>
      <font>
        <b val="0"/>
      </font>
    </dxf>
    <dxf>
      <font>
        <b val="0"/>
      </font>
    </dxf>
    <dxf>
      <font>
        <b val="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2.xml"/><Relationship Id="rId21" Type="http://schemas.openxmlformats.org/officeDocument/2006/relationships/theme" Target="theme/theme1.xml"/><Relationship Id="rId34" Type="http://schemas.openxmlformats.org/officeDocument/2006/relationships/customXml" Target="../customXml/item7.xml"/><Relationship Id="rId42" Type="http://schemas.openxmlformats.org/officeDocument/2006/relationships/customXml" Target="../customXml/item15.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sharedStrings" Target="sharedString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styles" Target="style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microsoft.com/office/2007/relationships/slicerCache" Target="slicerCaches/slicerCache1.xml"/><Relationship Id="rId25" Type="http://schemas.openxmlformats.org/officeDocument/2006/relationships/sheetMetadata" Target="metadata.xml"/><Relationship Id="rId33" Type="http://schemas.openxmlformats.org/officeDocument/2006/relationships/customXml" Target="../customXml/item6.xml"/><Relationship Id="rId38" Type="http://schemas.openxmlformats.org/officeDocument/2006/relationships/customXml" Target="../customXml/item11.xml"/><Relationship Id="rId46" Type="http://schemas.microsoft.com/office/2006/relationships/vbaProject" Target="vbaProject.bin"/><Relationship Id="rId20" Type="http://schemas.openxmlformats.org/officeDocument/2006/relationships/pivotTable" Target="pivotTables/pivotTable1.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[timesheet_report.xlsm]Sheet3!PivotTable4</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Overtime Hours by Each Department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Sheet3!$A$4:$A$9</c:f>
              <c:strCache>
                <c:ptCount val="5"/>
                <c:pt idx="0">
                  <c:v>Logistics</c:v>
                </c:pt>
                <c:pt idx="1">
                  <c:v>Management</c:v>
                </c:pt>
                <c:pt idx="2">
                  <c:v>Operations</c:v>
                </c:pt>
                <c:pt idx="3">
                  <c:v>Sales</c:v>
                </c:pt>
                <c:pt idx="4">
                  <c:v>Support</c:v>
                </c:pt>
              </c:strCache>
            </c:strRef>
          </c:cat>
          <c:val>
            <c:numRef>
              <c:f>Sheet3!$B$4:$B$9</c:f>
              <c:numCache>
                <c:formatCode>0.00</c:formatCode>
                <c:ptCount val="5"/>
                <c:pt idx="0">
                  <c:v>259.58999999999992</c:v>
                </c:pt>
                <c:pt idx="1">
                  <c:v>141.16999999999993</c:v>
                </c:pt>
                <c:pt idx="2">
                  <c:v>307.84000000000003</c:v>
                </c:pt>
                <c:pt idx="3">
                  <c:v>130.85999999999999</c:v>
                </c:pt>
                <c:pt idx="4">
                  <c:v>213.85</c:v>
                </c:pt>
              </c:numCache>
            </c:numRef>
          </c:val>
          <c:extLst>
            <c:ext xmlns:c16="http://schemas.microsoft.com/office/drawing/2014/chart" uri="{C3380CC4-5D6E-409C-BE32-E72D297353CC}">
              <c16:uniqueId val="{00000000-3398-4574-9C91-416EF1EE27EF}"/>
            </c:ext>
          </c:extLst>
        </c:ser>
        <c:dLbls>
          <c:showLegendKey val="0"/>
          <c:showVal val="0"/>
          <c:showCatName val="0"/>
          <c:showSerName val="0"/>
          <c:showPercent val="0"/>
          <c:showBubbleSize val="0"/>
        </c:dLbls>
        <c:gapWidth val="100"/>
        <c:axId val="1123777583"/>
        <c:axId val="1841602047"/>
      </c:barChart>
      <c:catAx>
        <c:axId val="1123777583"/>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41602047"/>
        <c:crosses val="autoZero"/>
        <c:auto val="1"/>
        <c:lblAlgn val="ctr"/>
        <c:lblOffset val="100"/>
        <c:noMultiLvlLbl val="0"/>
      </c:catAx>
      <c:valAx>
        <c:axId val="1841602047"/>
        <c:scaling>
          <c:orientation val="minMax"/>
        </c:scaling>
        <c:delete val="0"/>
        <c:axPos val="b"/>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23777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IN"/>
              <a:t>Pay Per</a:t>
            </a:r>
            <a:r>
              <a:rPr lang="en-IN" baseline="0"/>
              <a:t> Day</a:t>
            </a:r>
            <a:r>
              <a:rPr lang="en-IN"/>
              <a:t> Trend</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Lit>
              <c:ptCount val="7"/>
              <c:pt idx="0">
                <c:v>Sun</c:v>
              </c:pt>
              <c:pt idx="1">
                <c:v>Mon</c:v>
              </c:pt>
              <c:pt idx="2">
                <c:v>Tue</c:v>
              </c:pt>
              <c:pt idx="3">
                <c:v>Wed</c:v>
              </c:pt>
              <c:pt idx="4">
                <c:v>Thu</c:v>
              </c:pt>
              <c:pt idx="5">
                <c:v>Fri</c:v>
              </c:pt>
              <c:pt idx="6">
                <c:v>Sat</c:v>
              </c:pt>
            </c:strLit>
          </c:cat>
          <c:val>
            <c:numLit>
              <c:formatCode>\$#,##0.00;\(\$#,##0.00\);\$#,##0.00</c:formatCode>
              <c:ptCount val="7"/>
              <c:pt idx="0">
                <c:v>209036.92999999993</c:v>
              </c:pt>
              <c:pt idx="1">
                <c:v>811247.00499999989</c:v>
              </c:pt>
              <c:pt idx="2">
                <c:v>802010.73000000021</c:v>
              </c:pt>
              <c:pt idx="3">
                <c:v>1004975.3849999995</c:v>
              </c:pt>
              <c:pt idx="4">
                <c:v>1003942.5049999999</c:v>
              </c:pt>
              <c:pt idx="5">
                <c:v>804744.23000000033</c:v>
              </c:pt>
              <c:pt idx="6">
                <c:v>175041.11499999999</c:v>
              </c:pt>
            </c:numLit>
          </c:val>
          <c:smooth val="0"/>
          <c:extLst>
            <c:ext xmlns:c16="http://schemas.microsoft.com/office/drawing/2014/chart" uri="{C3380CC4-5D6E-409C-BE32-E72D297353CC}">
              <c16:uniqueId val="{00000000-6511-476A-A9E8-55DBEA5A5FBA}"/>
            </c:ext>
          </c:extLst>
        </c:ser>
        <c:dLbls>
          <c:showLegendKey val="0"/>
          <c:showVal val="0"/>
          <c:showCatName val="0"/>
          <c:showSerName val="0"/>
          <c:showPercent val="0"/>
          <c:showBubbleSize val="0"/>
        </c:dLbls>
        <c:marker val="1"/>
        <c:smooth val="0"/>
        <c:axId val="1893376927"/>
        <c:axId val="1775770863"/>
      </c:lineChart>
      <c:catAx>
        <c:axId val="1893376927"/>
        <c:scaling>
          <c:orientation val="minMax"/>
        </c:scaling>
        <c:delete val="0"/>
        <c:axPos val="b"/>
        <c:numFmt formatCode="General" sourceLinked="0"/>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775770863"/>
        <c:crosses val="autoZero"/>
        <c:auto val="1"/>
        <c:lblAlgn val="ctr"/>
        <c:lblOffset val="100"/>
        <c:noMultiLvlLbl val="0"/>
        <c:extLst>
          <c:ext xmlns:c15="http://schemas.microsoft.com/office/drawing/2012/chart" uri="{F40574EE-89B7-4290-83BB-5DA773EAF853}">
            <c15:numFmt c:formatCode="General" c:sourceLinked="1"/>
          </c:ext>
        </c:extLst>
      </c:catAx>
      <c:valAx>
        <c:axId val="1775770863"/>
        <c:scaling>
          <c:orientation val="minMax"/>
        </c:scaling>
        <c:delete val="0"/>
        <c:axPos val="l"/>
        <c:majorGridlines>
          <c:spPr>
            <a:ln w="9525" cap="flat" cmpd="sng" algn="ctr">
              <a:solidFill>
                <a:schemeClr val="tx2">
                  <a:lumMod val="15000"/>
                  <a:lumOff val="85000"/>
                </a:schemeClr>
              </a:solidFill>
              <a:round/>
            </a:ln>
            <a:effectLst/>
          </c:spPr>
        </c:majorGridlines>
        <c:numFmt formatCode="\$#,##0.00;\(\$#,##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93376927"/>
        <c:crosses val="autoZero"/>
        <c:crossBetween val="between"/>
        <c:extLst>
          <c:ext xmlns:c15="http://schemas.microsoft.com/office/drawing/2012/chart" uri="{F40574EE-89B7-4290-83BB-5DA773EAF853}">
            <c15:numFmt c:formatCode="\$#,##0.00;\(\$#,##0.00\);\$#,##0.00" c:sourceLinked="1"/>
          </c:ext>
        </c:extLs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lumMod val="60000"/>
          <a:lumOff val="40000"/>
        </a:schemeClr>
      </a:solidFill>
      <a:round/>
    </a:ln>
    <a:effectLst/>
  </c:spPr>
  <c:txPr>
    <a:bodyPr/>
    <a:lstStyle/>
    <a:p>
      <a:pPr>
        <a:defRPr/>
      </a:pPr>
      <a:endParaRPr lang="en-US"/>
    </a:p>
  </c:txPr>
  <c:extLst>
    <c:ext xmlns:c15="http://schemas.microsoft.com/office/drawing/2012/chart" uri="{723BEF56-08C2-4564-9609-F4CBC75E7E54}">
      <c15:pivotSource>
        <c15:name>[timesheet_report.xlsm]PivotChartTable3</c15:name>
        <c15:fmtId val="7"/>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emf"/><Relationship Id="rId5" Type="http://schemas.openxmlformats.org/officeDocument/2006/relationships/image" Target="../media/image3.emf"/><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1</xdr:col>
      <xdr:colOff>59531</xdr:colOff>
      <xdr:row>4</xdr:row>
      <xdr:rowOff>76201</xdr:rowOff>
    </xdr:from>
    <xdr:to>
      <xdr:col>18</xdr:col>
      <xdr:colOff>133350</xdr:colOff>
      <xdr:row>8</xdr:row>
      <xdr:rowOff>49531</xdr:rowOff>
    </xdr:to>
    <mc:AlternateContent xmlns:mc="http://schemas.openxmlformats.org/markup-compatibility/2006" xmlns:a14="http://schemas.microsoft.com/office/drawing/2010/main">
      <mc:Choice Requires="a14">
        <xdr:graphicFrame macro="">
          <xdr:nvGraphicFramePr>
            <xdr:cNvPr id="6" name="Department">
              <a:extLst>
                <a:ext uri="{FF2B5EF4-FFF2-40B4-BE49-F238E27FC236}">
                  <a16:creationId xmlns:a16="http://schemas.microsoft.com/office/drawing/2014/main" id="{3FA49FA9-1954-1D44-B7E0-F4E9C0D04C3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92931" y="838201"/>
              <a:ext cx="10446543" cy="7353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8283</xdr:colOff>
      <xdr:row>0</xdr:row>
      <xdr:rowOff>187096</xdr:rowOff>
    </xdr:from>
    <xdr:to>
      <xdr:col>19</xdr:col>
      <xdr:colOff>1</xdr:colOff>
      <xdr:row>3</xdr:row>
      <xdr:rowOff>187096</xdr:rowOff>
    </xdr:to>
    <xdr:sp macro="" textlink="">
      <xdr:nvSpPr>
        <xdr:cNvPr id="3" name="Rectangle 2">
          <a:extLst>
            <a:ext uri="{FF2B5EF4-FFF2-40B4-BE49-F238E27FC236}">
              <a16:creationId xmlns:a16="http://schemas.microsoft.com/office/drawing/2014/main" id="{C0F061EE-0CFB-EF13-5A8D-515E9BD0CA47}"/>
            </a:ext>
          </a:extLst>
        </xdr:cNvPr>
        <xdr:cNvSpPr/>
      </xdr:nvSpPr>
      <xdr:spPr>
        <a:xfrm>
          <a:off x="541683" y="187096"/>
          <a:ext cx="10526368" cy="571500"/>
        </a:xfrm>
        <a:prstGeom prst="rect">
          <a:avLst/>
        </a:prstGeom>
        <a:ln w="3175">
          <a:solidFill>
            <a:schemeClr val="tx1"/>
          </a:solidFill>
        </a:ln>
        <a:effectLst/>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2800" b="1">
              <a:effectLst/>
            </a:rPr>
            <a:t>Timesheet Analytics Dashboard</a:t>
          </a:r>
          <a:endParaRPr lang="en-IN" sz="2800"/>
        </a:p>
      </xdr:txBody>
    </xdr:sp>
    <xdr:clientData/>
  </xdr:twoCellAnchor>
  <xdr:twoCellAnchor>
    <xdr:from>
      <xdr:col>1</xdr:col>
      <xdr:colOff>53579</xdr:colOff>
      <xdr:row>12</xdr:row>
      <xdr:rowOff>89456</xdr:rowOff>
    </xdr:from>
    <xdr:to>
      <xdr:col>9</xdr:col>
      <xdr:colOff>200025</xdr:colOff>
      <xdr:row>24</xdr:row>
      <xdr:rowOff>108506</xdr:rowOff>
    </xdr:to>
    <xdr:graphicFrame macro="">
      <xdr:nvGraphicFramePr>
        <xdr:cNvPr id="4" name="Chart 3">
          <a:extLst>
            <a:ext uri="{FF2B5EF4-FFF2-40B4-BE49-F238E27FC236}">
              <a16:creationId xmlns:a16="http://schemas.microsoft.com/office/drawing/2014/main" id="{828CFC03-375F-4211-8CF8-7B4F26BEA3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361950</xdr:colOff>
      <xdr:row>8</xdr:row>
      <xdr:rowOff>107678</xdr:rowOff>
    </xdr:from>
    <xdr:to>
      <xdr:col>18</xdr:col>
      <xdr:colOff>148671</xdr:colOff>
      <xdr:row>12</xdr:row>
      <xdr:rowOff>16566</xdr:rowOff>
    </xdr:to>
    <mc:AlternateContent xmlns:mc="http://schemas.openxmlformats.org/markup-compatibility/2006" xmlns:a14="http://schemas.microsoft.com/office/drawing/2010/main">
      <mc:Choice Requires="a14">
        <xdr:graphicFrame macro="">
          <xdr:nvGraphicFramePr>
            <xdr:cNvPr id="8" name="Day_Name">
              <a:extLst>
                <a:ext uri="{FF2B5EF4-FFF2-40B4-BE49-F238E27FC236}">
                  <a16:creationId xmlns:a16="http://schemas.microsoft.com/office/drawing/2014/main" id="{2D6B101D-AAA0-D7D5-B9E9-B8CE285C4605}"/>
                </a:ext>
              </a:extLst>
            </xdr:cNvPr>
            <xdr:cNvGraphicFramePr/>
          </xdr:nvGraphicFramePr>
          <xdr:xfrm>
            <a:off x="0" y="0"/>
            <a:ext cx="0" cy="0"/>
          </xdr:xfrm>
          <a:graphic>
            <a:graphicData uri="http://schemas.microsoft.com/office/drawing/2010/slicer">
              <sle:slicer xmlns:sle="http://schemas.microsoft.com/office/drawing/2010/slicer" name="Day_Name"/>
            </a:graphicData>
          </a:graphic>
        </xdr:graphicFrame>
      </mc:Choice>
      <mc:Fallback xmlns="">
        <xdr:sp macro="" textlink="">
          <xdr:nvSpPr>
            <xdr:cNvPr id="0" name=""/>
            <xdr:cNvSpPr>
              <a:spLocks noTextEdit="1"/>
            </xdr:cNvSpPr>
          </xdr:nvSpPr>
          <xdr:spPr>
            <a:xfrm>
              <a:off x="5796998" y="1631678"/>
              <a:ext cx="5248274" cy="6708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361950</xdr:colOff>
      <xdr:row>12</xdr:row>
      <xdr:rowOff>89456</xdr:rowOff>
    </xdr:from>
    <xdr:to>
      <xdr:col>18</xdr:col>
      <xdr:colOff>114300</xdr:colOff>
      <xdr:row>24</xdr:row>
      <xdr:rowOff>108505</xdr:rowOff>
    </xdr:to>
    <xdr:graphicFrame macro="">
      <xdr:nvGraphicFramePr>
        <xdr:cNvPr id="5" name="Chart 4">
          <a:extLst>
            <a:ext uri="{FF2B5EF4-FFF2-40B4-BE49-F238E27FC236}">
              <a16:creationId xmlns:a16="http://schemas.microsoft.com/office/drawing/2014/main" id="{956287A0-CDCD-4E3C-9144-E7ECBA4DC0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64767</xdr:colOff>
      <xdr:row>8</xdr:row>
      <xdr:rowOff>117094</xdr:rowOff>
    </xdr:from>
    <xdr:to>
      <xdr:col>2</xdr:col>
      <xdr:colOff>556846</xdr:colOff>
      <xdr:row>12</xdr:row>
      <xdr:rowOff>27993</xdr:rowOff>
    </xdr:to>
    <xdr:grpSp>
      <xdr:nvGrpSpPr>
        <xdr:cNvPr id="17" name="Group 16">
          <a:extLst>
            <a:ext uri="{FF2B5EF4-FFF2-40B4-BE49-F238E27FC236}">
              <a16:creationId xmlns:a16="http://schemas.microsoft.com/office/drawing/2014/main" id="{27B19D99-2EF9-269F-43C9-FB036ADDECAB}"/>
            </a:ext>
          </a:extLst>
        </xdr:cNvPr>
        <xdr:cNvGrpSpPr/>
      </xdr:nvGrpSpPr>
      <xdr:grpSpPr>
        <a:xfrm>
          <a:off x="284575" y="1641094"/>
          <a:ext cx="1862213" cy="672899"/>
          <a:chOff x="407670" y="1635959"/>
          <a:chExt cx="1043793" cy="510830"/>
        </a:xfrm>
      </xdr:grpSpPr>
      <xdr:sp macro="" textlink="Sheet3!F4">
        <xdr:nvSpPr>
          <xdr:cNvPr id="12" name="Rectangle 11">
            <a:extLst>
              <a:ext uri="{FF2B5EF4-FFF2-40B4-BE49-F238E27FC236}">
                <a16:creationId xmlns:a16="http://schemas.microsoft.com/office/drawing/2014/main" id="{9BEC7515-8FEE-A70A-5D3A-AD3346DFD3C8}"/>
              </a:ext>
            </a:extLst>
          </xdr:cNvPr>
          <xdr:cNvSpPr/>
        </xdr:nvSpPr>
        <xdr:spPr>
          <a:xfrm>
            <a:off x="407670" y="1870946"/>
            <a:ext cx="1043793" cy="275843"/>
          </a:xfrm>
          <a:prstGeom prst="rect">
            <a:avLst/>
          </a:prstGeom>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fld id="{EFB792FB-DE66-4C9A-A960-00F975AF17B6}" type="TxLink">
              <a:rPr lang="en-US" sz="1400" b="1" i="0" u="none" strike="noStrike">
                <a:solidFill>
                  <a:schemeClr val="bg1"/>
                </a:solidFill>
                <a:latin typeface="Aptos Narrow"/>
              </a:rPr>
              <a:pPr algn="ctr"/>
              <a:t> $3,371.41 </a:t>
            </a:fld>
            <a:endParaRPr lang="en-IN" sz="1400" b="1">
              <a:solidFill>
                <a:schemeClr val="bg1"/>
              </a:solidFill>
            </a:endParaRPr>
          </a:p>
        </xdr:txBody>
      </xdr:sp>
      <xdr:sp macro="" textlink="">
        <xdr:nvSpPr>
          <xdr:cNvPr id="11" name="TextBox 10">
            <a:extLst>
              <a:ext uri="{FF2B5EF4-FFF2-40B4-BE49-F238E27FC236}">
                <a16:creationId xmlns:a16="http://schemas.microsoft.com/office/drawing/2014/main" id="{45B8E221-7165-8B14-8202-4DD163C5D753}"/>
              </a:ext>
            </a:extLst>
          </xdr:cNvPr>
          <xdr:cNvSpPr txBox="1"/>
        </xdr:nvSpPr>
        <xdr:spPr>
          <a:xfrm>
            <a:off x="415361" y="1635959"/>
            <a:ext cx="1027889" cy="231352"/>
          </a:xfrm>
          <a:prstGeom prst="rect">
            <a:avLst/>
          </a:prstGeom>
          <a:solidFill>
            <a:schemeClr val="accent4">
              <a:lumMod val="20000"/>
              <a:lumOff val="8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lstStyle/>
          <a:p>
            <a:pPr algn="ctr"/>
            <a:r>
              <a:rPr lang="en-IN" sz="1100" b="1" i="0" u="none" strike="noStrike">
                <a:solidFill>
                  <a:schemeClr val="tx1"/>
                </a:solidFill>
                <a:effectLst/>
                <a:latin typeface="+mn-lt"/>
                <a:ea typeface="+mn-ea"/>
                <a:cs typeface="+mn-cs"/>
              </a:rPr>
              <a:t>Avg Hourly Pay</a:t>
            </a:r>
            <a:r>
              <a:rPr lang="en-IN" b="1">
                <a:solidFill>
                  <a:schemeClr val="tx1"/>
                </a:solidFill>
                <a:effectLst/>
              </a:rPr>
              <a:t> </a:t>
            </a:r>
            <a:endParaRPr lang="en-IN" sz="1100" b="1" baseline="0">
              <a:solidFill>
                <a:schemeClr val="tx1"/>
              </a:solidFill>
            </a:endParaRPr>
          </a:p>
        </xdr:txBody>
      </xdr:sp>
    </xdr:grpSp>
    <xdr:clientData/>
  </xdr:twoCellAnchor>
  <xdr:twoCellAnchor>
    <xdr:from>
      <xdr:col>2</xdr:col>
      <xdr:colOff>747346</xdr:colOff>
      <xdr:row>8</xdr:row>
      <xdr:rowOff>105664</xdr:rowOff>
    </xdr:from>
    <xdr:to>
      <xdr:col>5</xdr:col>
      <xdr:colOff>52553</xdr:colOff>
      <xdr:row>12</xdr:row>
      <xdr:rowOff>16563</xdr:rowOff>
    </xdr:to>
    <xdr:grpSp>
      <xdr:nvGrpSpPr>
        <xdr:cNvPr id="18" name="Group 17">
          <a:extLst>
            <a:ext uri="{FF2B5EF4-FFF2-40B4-BE49-F238E27FC236}">
              <a16:creationId xmlns:a16="http://schemas.microsoft.com/office/drawing/2014/main" id="{30848CE6-8AB7-44C4-B69E-48BD1B64ABBC}"/>
            </a:ext>
          </a:extLst>
        </xdr:cNvPr>
        <xdr:cNvGrpSpPr/>
      </xdr:nvGrpSpPr>
      <xdr:grpSpPr>
        <a:xfrm>
          <a:off x="2337288" y="1629664"/>
          <a:ext cx="1510611" cy="672899"/>
          <a:chOff x="410713" y="1635959"/>
          <a:chExt cx="1045798" cy="510830"/>
        </a:xfrm>
      </xdr:grpSpPr>
      <xdr:sp macro="" textlink="Sheet3!F3">
        <xdr:nvSpPr>
          <xdr:cNvPr id="19" name="Rectangle 18">
            <a:extLst>
              <a:ext uri="{FF2B5EF4-FFF2-40B4-BE49-F238E27FC236}">
                <a16:creationId xmlns:a16="http://schemas.microsoft.com/office/drawing/2014/main" id="{93B8BC65-3BD7-9F54-071D-F6B8B43D6B59}"/>
              </a:ext>
            </a:extLst>
          </xdr:cNvPr>
          <xdr:cNvSpPr/>
        </xdr:nvSpPr>
        <xdr:spPr>
          <a:xfrm>
            <a:off x="410713" y="1870946"/>
            <a:ext cx="1045798" cy="275843"/>
          </a:xfrm>
          <a:prstGeom prst="rect">
            <a:avLst/>
          </a:prstGeom>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fld id="{1F476E31-BFAA-40F6-A036-E551479D7172}" type="TxLink">
              <a:rPr lang="en-US" sz="1200" b="1" i="0" u="none" strike="noStrike">
                <a:solidFill>
                  <a:schemeClr val="bg1"/>
                </a:solidFill>
                <a:latin typeface="Aptos Narrow"/>
              </a:rPr>
              <a:pPr algn="ctr"/>
              <a:t> $48,10,997.90 </a:t>
            </a:fld>
            <a:endParaRPr lang="en-IN" sz="1800" b="1">
              <a:solidFill>
                <a:schemeClr val="bg1"/>
              </a:solidFill>
            </a:endParaRPr>
          </a:p>
        </xdr:txBody>
      </xdr:sp>
      <xdr:sp macro="" textlink="">
        <xdr:nvSpPr>
          <xdr:cNvPr id="20" name="TextBox 19">
            <a:extLst>
              <a:ext uri="{FF2B5EF4-FFF2-40B4-BE49-F238E27FC236}">
                <a16:creationId xmlns:a16="http://schemas.microsoft.com/office/drawing/2014/main" id="{681FE048-59A8-E4EA-5EA5-E0E99EE5C773}"/>
              </a:ext>
            </a:extLst>
          </xdr:cNvPr>
          <xdr:cNvSpPr txBox="1"/>
        </xdr:nvSpPr>
        <xdr:spPr>
          <a:xfrm>
            <a:off x="415361" y="1635959"/>
            <a:ext cx="1032440" cy="231352"/>
          </a:xfrm>
          <a:prstGeom prst="rect">
            <a:avLst/>
          </a:prstGeom>
          <a:solidFill>
            <a:schemeClr val="accent4">
              <a:lumMod val="20000"/>
              <a:lumOff val="8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lstStyle/>
          <a:p>
            <a:pPr algn="ctr"/>
            <a:r>
              <a:rPr lang="en-IN" sz="1100" b="1" i="0" u="none" strike="noStrike">
                <a:solidFill>
                  <a:schemeClr val="dk1"/>
                </a:solidFill>
                <a:effectLst/>
                <a:latin typeface="+mn-lt"/>
                <a:ea typeface="+mn-ea"/>
                <a:cs typeface="+mn-cs"/>
              </a:rPr>
              <a:t>Total Gross Pay</a:t>
            </a:r>
            <a:endParaRPr lang="en-IN" sz="1100" b="1" baseline="0">
              <a:solidFill>
                <a:schemeClr val="tx1"/>
              </a:solidFill>
            </a:endParaRPr>
          </a:p>
        </xdr:txBody>
      </xdr:sp>
    </xdr:grpSp>
    <xdr:clientData/>
  </xdr:twoCellAnchor>
  <xdr:twoCellAnchor>
    <xdr:from>
      <xdr:col>7</xdr:col>
      <xdr:colOff>297177</xdr:colOff>
      <xdr:row>8</xdr:row>
      <xdr:rowOff>105664</xdr:rowOff>
    </xdr:from>
    <xdr:to>
      <xdr:col>9</xdr:col>
      <xdr:colOff>194307</xdr:colOff>
      <xdr:row>12</xdr:row>
      <xdr:rowOff>16563</xdr:rowOff>
    </xdr:to>
    <xdr:grpSp>
      <xdr:nvGrpSpPr>
        <xdr:cNvPr id="21" name="Group 20">
          <a:extLst>
            <a:ext uri="{FF2B5EF4-FFF2-40B4-BE49-F238E27FC236}">
              <a16:creationId xmlns:a16="http://schemas.microsoft.com/office/drawing/2014/main" id="{24546BAA-D603-4C8E-ACAE-410755A041B8}"/>
            </a:ext>
          </a:extLst>
        </xdr:cNvPr>
        <xdr:cNvGrpSpPr/>
      </xdr:nvGrpSpPr>
      <xdr:grpSpPr>
        <a:xfrm>
          <a:off x="5308792" y="1629664"/>
          <a:ext cx="1113400" cy="672899"/>
          <a:chOff x="407670" y="1635959"/>
          <a:chExt cx="1052005" cy="510830"/>
        </a:xfrm>
      </xdr:grpSpPr>
      <xdr:sp macro="" textlink="Sheet3!I4">
        <xdr:nvSpPr>
          <xdr:cNvPr id="22" name="Rectangle 21">
            <a:extLst>
              <a:ext uri="{FF2B5EF4-FFF2-40B4-BE49-F238E27FC236}">
                <a16:creationId xmlns:a16="http://schemas.microsoft.com/office/drawing/2014/main" id="{936E9192-FDDE-964A-C895-8ADE348A2078}"/>
              </a:ext>
            </a:extLst>
          </xdr:cNvPr>
          <xdr:cNvSpPr/>
        </xdr:nvSpPr>
        <xdr:spPr>
          <a:xfrm>
            <a:off x="407670" y="1870946"/>
            <a:ext cx="1052005" cy="275843"/>
          </a:xfrm>
          <a:prstGeom prst="rect">
            <a:avLst/>
          </a:prstGeom>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fld id="{4418CDAF-C235-4BD2-8766-8A0214BB20B2}" type="TxLink">
              <a:rPr lang="en-US" sz="1400" b="1" i="0" u="none" strike="noStrike">
                <a:solidFill>
                  <a:schemeClr val="bg1"/>
                </a:solidFill>
                <a:latin typeface="Aptos Narrow"/>
              </a:rPr>
              <a:pPr algn="ctr"/>
              <a:t>12396.9</a:t>
            </a:fld>
            <a:endParaRPr lang="en-IN" sz="2000" b="1">
              <a:solidFill>
                <a:schemeClr val="bg1"/>
              </a:solidFill>
            </a:endParaRPr>
          </a:p>
        </xdr:txBody>
      </xdr:sp>
      <xdr:sp macro="" textlink="">
        <xdr:nvSpPr>
          <xdr:cNvPr id="23" name="TextBox 22">
            <a:extLst>
              <a:ext uri="{FF2B5EF4-FFF2-40B4-BE49-F238E27FC236}">
                <a16:creationId xmlns:a16="http://schemas.microsoft.com/office/drawing/2014/main" id="{33995B77-5D05-51B7-57ED-520A6B2A82FB}"/>
              </a:ext>
            </a:extLst>
          </xdr:cNvPr>
          <xdr:cNvSpPr txBox="1"/>
        </xdr:nvSpPr>
        <xdr:spPr>
          <a:xfrm>
            <a:off x="415361" y="1635959"/>
            <a:ext cx="1032440" cy="231352"/>
          </a:xfrm>
          <a:prstGeom prst="rect">
            <a:avLst/>
          </a:prstGeom>
          <a:solidFill>
            <a:schemeClr val="accent4">
              <a:lumMod val="20000"/>
              <a:lumOff val="8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lstStyle/>
          <a:p>
            <a:pPr algn="ctr"/>
            <a:r>
              <a:rPr lang="en-IN" sz="1100" b="1" i="0" u="none" strike="noStrike">
                <a:solidFill>
                  <a:schemeClr val="tx1"/>
                </a:solidFill>
                <a:effectLst/>
                <a:latin typeface="+mn-lt"/>
                <a:ea typeface="+mn-ea"/>
                <a:cs typeface="+mn-cs"/>
              </a:rPr>
              <a:t>Working Hours</a:t>
            </a:r>
          </a:p>
        </xdr:txBody>
      </xdr:sp>
    </xdr:grpSp>
    <xdr:clientData/>
  </xdr:twoCellAnchor>
  <xdr:twoCellAnchor>
    <xdr:from>
      <xdr:col>5</xdr:col>
      <xdr:colOff>228597</xdr:colOff>
      <xdr:row>8</xdr:row>
      <xdr:rowOff>105664</xdr:rowOff>
    </xdr:from>
    <xdr:to>
      <xdr:col>7</xdr:col>
      <xdr:colOff>125727</xdr:colOff>
      <xdr:row>12</xdr:row>
      <xdr:rowOff>16563</xdr:rowOff>
    </xdr:to>
    <xdr:grpSp>
      <xdr:nvGrpSpPr>
        <xdr:cNvPr id="24" name="Group 23">
          <a:extLst>
            <a:ext uri="{FF2B5EF4-FFF2-40B4-BE49-F238E27FC236}">
              <a16:creationId xmlns:a16="http://schemas.microsoft.com/office/drawing/2014/main" id="{FCB6A306-85A0-4B83-90F9-9CDBF2E94D6E}"/>
            </a:ext>
          </a:extLst>
        </xdr:cNvPr>
        <xdr:cNvGrpSpPr/>
      </xdr:nvGrpSpPr>
      <xdr:grpSpPr>
        <a:xfrm>
          <a:off x="4023943" y="1629664"/>
          <a:ext cx="1113399" cy="672899"/>
          <a:chOff x="407670" y="1635959"/>
          <a:chExt cx="1052005" cy="510830"/>
        </a:xfrm>
      </xdr:grpSpPr>
      <xdr:sp macro="" textlink="Sheet3!I3">
        <xdr:nvSpPr>
          <xdr:cNvPr id="25" name="Rectangle 24">
            <a:extLst>
              <a:ext uri="{FF2B5EF4-FFF2-40B4-BE49-F238E27FC236}">
                <a16:creationId xmlns:a16="http://schemas.microsoft.com/office/drawing/2014/main" id="{A2824D7B-4AD3-1593-9B42-7AE0F6E8CC02}"/>
              </a:ext>
            </a:extLst>
          </xdr:cNvPr>
          <xdr:cNvSpPr/>
        </xdr:nvSpPr>
        <xdr:spPr>
          <a:xfrm>
            <a:off x="407670" y="1870946"/>
            <a:ext cx="1052005" cy="275843"/>
          </a:xfrm>
          <a:prstGeom prst="rect">
            <a:avLst/>
          </a:prstGeom>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fld id="{2B050B7F-63CE-49BD-985E-0769590649FE}" type="TxLink">
              <a:rPr lang="en-US" sz="1400" b="1" i="0" u="none" strike="noStrike">
                <a:solidFill>
                  <a:schemeClr val="bg1"/>
                </a:solidFill>
                <a:latin typeface="Aptos Narrow"/>
              </a:rPr>
              <a:pPr algn="ctr"/>
              <a:t>1053.31</a:t>
            </a:fld>
            <a:endParaRPr lang="en-IN" sz="2000" b="1">
              <a:solidFill>
                <a:schemeClr val="bg1"/>
              </a:solidFill>
            </a:endParaRPr>
          </a:p>
        </xdr:txBody>
      </xdr:sp>
      <xdr:sp macro="" textlink="">
        <xdr:nvSpPr>
          <xdr:cNvPr id="26" name="TextBox 25">
            <a:extLst>
              <a:ext uri="{FF2B5EF4-FFF2-40B4-BE49-F238E27FC236}">
                <a16:creationId xmlns:a16="http://schemas.microsoft.com/office/drawing/2014/main" id="{70FBD70B-A1D2-6C08-DFA6-37C478F34878}"/>
              </a:ext>
            </a:extLst>
          </xdr:cNvPr>
          <xdr:cNvSpPr txBox="1"/>
        </xdr:nvSpPr>
        <xdr:spPr>
          <a:xfrm>
            <a:off x="415361" y="1635959"/>
            <a:ext cx="1032440" cy="231352"/>
          </a:xfrm>
          <a:prstGeom prst="rect">
            <a:avLst/>
          </a:prstGeom>
          <a:solidFill>
            <a:schemeClr val="accent4">
              <a:lumMod val="20000"/>
              <a:lumOff val="8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lstStyle/>
          <a:p>
            <a:pPr algn="ctr"/>
            <a:r>
              <a:rPr lang="en-IN" sz="1100" b="1" i="0" u="none" strike="noStrike">
                <a:solidFill>
                  <a:schemeClr val="tx1"/>
                </a:solidFill>
                <a:effectLst/>
                <a:latin typeface="+mn-lt"/>
                <a:ea typeface="+mn-ea"/>
                <a:cs typeface="+mn-cs"/>
              </a:rPr>
              <a:t>Gross OT</a:t>
            </a:r>
            <a:endParaRPr lang="en-IN" sz="1100" b="1" baseline="0">
              <a:solidFill>
                <a:schemeClr val="tx1"/>
              </a:solidFill>
            </a:endParaRPr>
          </a:p>
        </xdr:txBody>
      </xdr:sp>
    </xdr:grpSp>
    <xdr:clientData/>
  </xdr:twoCellAnchor>
  <xdr:twoCellAnchor>
    <xdr:from>
      <xdr:col>12</xdr:col>
      <xdr:colOff>495300</xdr:colOff>
      <xdr:row>25</xdr:row>
      <xdr:rowOff>9525</xdr:rowOff>
    </xdr:from>
    <xdr:to>
      <xdr:col>18</xdr:col>
      <xdr:colOff>104775</xdr:colOff>
      <xdr:row>28</xdr:row>
      <xdr:rowOff>66675</xdr:rowOff>
    </xdr:to>
    <xdr:sp macro="[0]!refersh_macro" textlink="">
      <xdr:nvSpPr>
        <xdr:cNvPr id="9" name="Rectangle 8">
          <a:extLst>
            <a:ext uri="{FF2B5EF4-FFF2-40B4-BE49-F238E27FC236}">
              <a16:creationId xmlns:a16="http://schemas.microsoft.com/office/drawing/2014/main" id="{8C369E1A-9133-07F5-998B-8EF54357AC94}"/>
            </a:ext>
          </a:extLst>
        </xdr:cNvPr>
        <xdr:cNvSpPr/>
      </xdr:nvSpPr>
      <xdr:spPr>
        <a:xfrm>
          <a:off x="8562975" y="4772025"/>
          <a:ext cx="3267075" cy="628650"/>
        </a:xfrm>
        <a:prstGeom prst="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IN" sz="1400" b="1"/>
            <a:t>Refresh Data</a:t>
          </a:r>
        </a:p>
      </xdr:txBody>
    </xdr:sp>
    <xdr:clientData/>
  </xdr:twoCellAnchor>
  <xdr:twoCellAnchor>
    <xdr:from>
      <xdr:col>12</xdr:col>
      <xdr:colOff>485775</xdr:colOff>
      <xdr:row>28</xdr:row>
      <xdr:rowOff>142875</xdr:rowOff>
    </xdr:from>
    <xdr:to>
      <xdr:col>18</xdr:col>
      <xdr:colOff>104775</xdr:colOff>
      <xdr:row>31</xdr:row>
      <xdr:rowOff>180975</xdr:rowOff>
    </xdr:to>
    <xdr:sp macro="[0]!Execute_Monthly_Payroll_Pipeline" textlink="">
      <xdr:nvSpPr>
        <xdr:cNvPr id="10" name="Rectangle 9">
          <a:extLst>
            <a:ext uri="{FF2B5EF4-FFF2-40B4-BE49-F238E27FC236}">
              <a16:creationId xmlns:a16="http://schemas.microsoft.com/office/drawing/2014/main" id="{D34B2CA2-B680-4ADE-BA44-FE114F511FCB}"/>
            </a:ext>
          </a:extLst>
        </xdr:cNvPr>
        <xdr:cNvSpPr/>
      </xdr:nvSpPr>
      <xdr:spPr>
        <a:xfrm>
          <a:off x="8553450" y="5476875"/>
          <a:ext cx="3276600" cy="609600"/>
        </a:xfrm>
        <a:prstGeom prst="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IN" sz="1400" b="1"/>
            <a:t>Generate PDF</a:t>
          </a:r>
        </a:p>
      </xdr:txBody>
    </xdr:sp>
    <xdr:clientData/>
  </xdr:twoCellAnchor>
  <mc:AlternateContent xmlns:mc="http://schemas.openxmlformats.org/markup-compatibility/2006">
    <mc:Choice xmlns:a14="http://schemas.microsoft.com/office/drawing/2010/main" Requires="a14">
      <xdr:twoCellAnchor editAs="oneCell">
        <xdr:from>
          <xdr:col>5</xdr:col>
          <xdr:colOff>409575</xdr:colOff>
          <xdr:row>25</xdr:row>
          <xdr:rowOff>19050</xdr:rowOff>
        </xdr:from>
        <xdr:to>
          <xdr:col>9</xdr:col>
          <xdr:colOff>209550</xdr:colOff>
          <xdr:row>32</xdr:row>
          <xdr:rowOff>19050</xdr:rowOff>
        </xdr:to>
        <xdr:pic>
          <xdr:nvPicPr>
            <xdr:cNvPr id="16" name="Picture 15">
              <a:extLst>
                <a:ext uri="{FF2B5EF4-FFF2-40B4-BE49-F238E27FC236}">
                  <a16:creationId xmlns:a16="http://schemas.microsoft.com/office/drawing/2014/main" id="{B431F703-D9C2-0818-5A5F-98AB0D622CE1}"/>
                </a:ext>
              </a:extLst>
            </xdr:cNvPr>
            <xdr:cNvPicPr>
              <a:picLocks noChangeAspect="1" noChangeArrowheads="1"/>
              <a:extLst>
                <a:ext uri="{84589F7E-364E-4C9E-8A38-B11213B215E9}">
                  <a14:cameraTool cellRange="Payroll_Report!$E$2:$F$8" spid="_x0000_s1058"/>
                </a:ext>
              </a:extLst>
            </xdr:cNvPicPr>
          </xdr:nvPicPr>
          <xdr:blipFill>
            <a:blip xmlns:r="http://schemas.openxmlformats.org/officeDocument/2006/relationships" r:embed="rId3"/>
            <a:srcRect/>
            <a:stretch>
              <a:fillRect/>
            </a:stretch>
          </xdr:blipFill>
          <xdr:spPr bwMode="auto">
            <a:xfrm>
              <a:off x="4210050" y="4781550"/>
              <a:ext cx="2238375" cy="1333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25</xdr:row>
          <xdr:rowOff>9525</xdr:rowOff>
        </xdr:from>
        <xdr:to>
          <xdr:col>2</xdr:col>
          <xdr:colOff>447675</xdr:colOff>
          <xdr:row>32</xdr:row>
          <xdr:rowOff>9525</xdr:rowOff>
        </xdr:to>
        <xdr:pic>
          <xdr:nvPicPr>
            <xdr:cNvPr id="28" name="Picture 27">
              <a:extLst>
                <a:ext uri="{FF2B5EF4-FFF2-40B4-BE49-F238E27FC236}">
                  <a16:creationId xmlns:a16="http://schemas.microsoft.com/office/drawing/2014/main" id="{B4591635-A067-A45E-6088-78B6E9AEC578}"/>
                </a:ext>
              </a:extLst>
            </xdr:cNvPr>
            <xdr:cNvPicPr>
              <a:picLocks noChangeAspect="1" noChangeArrowheads="1"/>
              <a:extLst>
                <a:ext uri="{84589F7E-364E-4C9E-8A38-B11213B215E9}">
                  <a14:cameraTool cellRange="Payroll_Report!$H$2:$I$8" spid="_x0000_s1059"/>
                </a:ext>
              </a:extLst>
            </xdr:cNvPicPr>
          </xdr:nvPicPr>
          <xdr:blipFill>
            <a:blip xmlns:r="http://schemas.openxmlformats.org/officeDocument/2006/relationships" r:embed="rId4"/>
            <a:srcRect/>
            <a:stretch>
              <a:fillRect/>
            </a:stretch>
          </xdr:blipFill>
          <xdr:spPr bwMode="auto">
            <a:xfrm>
              <a:off x="285750" y="4772025"/>
              <a:ext cx="1752600" cy="13335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19050</xdr:rowOff>
        </xdr:from>
        <xdr:to>
          <xdr:col>5</xdr:col>
          <xdr:colOff>333375</xdr:colOff>
          <xdr:row>32</xdr:row>
          <xdr:rowOff>28575</xdr:rowOff>
        </xdr:to>
        <xdr:pic>
          <xdr:nvPicPr>
            <xdr:cNvPr id="29" name="Picture 28">
              <a:extLst>
                <a:ext uri="{FF2B5EF4-FFF2-40B4-BE49-F238E27FC236}">
                  <a16:creationId xmlns:a16="http://schemas.microsoft.com/office/drawing/2014/main" id="{37291E15-9109-C043-7872-25AD56959889}"/>
                </a:ext>
              </a:extLst>
            </xdr:cNvPr>
            <xdr:cNvPicPr>
              <a:picLocks noChangeAspect="1" noChangeArrowheads="1"/>
              <a:extLst>
                <a:ext uri="{84589F7E-364E-4C9E-8A38-B11213B215E9}">
                  <a14:cameraTool cellRange="Payroll_Report!$K$2:$L$8" spid="_x0000_s1060"/>
                </a:ext>
              </a:extLst>
            </xdr:cNvPicPr>
          </xdr:nvPicPr>
          <xdr:blipFill>
            <a:blip xmlns:r="http://schemas.openxmlformats.org/officeDocument/2006/relationships" r:embed="rId5"/>
            <a:srcRect/>
            <a:stretch>
              <a:fillRect/>
            </a:stretch>
          </xdr:blipFill>
          <xdr:spPr bwMode="auto">
            <a:xfrm>
              <a:off x="2124075" y="4781550"/>
              <a:ext cx="2009775" cy="134302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9</xdr:col>
      <xdr:colOff>381000</xdr:colOff>
      <xdr:row>25</xdr:row>
      <xdr:rowOff>9525</xdr:rowOff>
    </xdr:from>
    <xdr:to>
      <xdr:col>12</xdr:col>
      <xdr:colOff>342900</xdr:colOff>
      <xdr:row>32</xdr:row>
      <xdr:rowOff>9525</xdr:rowOff>
    </xdr:to>
    <mc:AlternateContent xmlns:mc="http://schemas.openxmlformats.org/markup-compatibility/2006">
      <mc:Choice xmlns:a14="http://schemas.microsoft.com/office/drawing/2010/main" Requires="a14">
        <xdr:pic>
          <xdr:nvPicPr>
            <xdr:cNvPr id="31" name="Picture 30">
              <a:extLst>
                <a:ext uri="{FF2B5EF4-FFF2-40B4-BE49-F238E27FC236}">
                  <a16:creationId xmlns:a16="http://schemas.microsoft.com/office/drawing/2014/main" id="{10B23E7F-C5D9-5C84-774A-015FAFFFE3A2}"/>
                </a:ext>
              </a:extLst>
            </xdr:cNvPr>
            <xdr:cNvPicPr>
              <a:picLocks noChangeAspect="1" noChangeArrowheads="1"/>
              <a:extLst>
                <a:ext uri="{84589F7E-364E-4C9E-8A38-B11213B215E9}">
                  <a14:cameraTool cellRange="Payroll_Report!$Q$2:$R$8" spid="_x0000_s1061"/>
                </a:ext>
              </a:extLst>
            </xdr:cNvPicPr>
          </xdr:nvPicPr>
          <xdr:blipFill>
            <a:blip xmlns:r="http://schemas.openxmlformats.org/officeDocument/2006/relationships" r:embed="rId6"/>
            <a:srcRect/>
            <a:stretch>
              <a:fillRect/>
            </a:stretch>
          </xdr:blipFill>
          <xdr:spPr bwMode="auto">
            <a:xfrm>
              <a:off x="6619875" y="4772025"/>
              <a:ext cx="1790700" cy="1333500"/>
            </a:xfrm>
            <a:prstGeom prst="rect">
              <a:avLst/>
            </a:prstGeom>
            <a:noFill/>
            <a:extLst>
              <a:ext uri="{909E8E84-426E-40DD-AFC4-6F175D3DCCD1}">
                <a14:hiddenFill>
                  <a:solidFill>
                    <a:srgbClr val="FFFFFF"/>
                  </a:solidFill>
                </a14:hiddenFill>
              </a:ext>
            </a:extLst>
          </xdr:spPr>
        </xdr:pic>
      </mc:Choice>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44212964" backgroundQuery="1" createdVersion="8" refreshedVersion="8" minRefreshableVersion="3" recordCount="0" supportSubquery="1" supportAdvancedDrill="1" xr:uid="{3FACBF39-A8AF-47F6-9AFE-82B58B979DD9}">
  <cacheSource type="external" connectionId="7"/>
  <cacheFields count="3">
    <cacheField name="[Dim_Employee].[Department].[Department]" caption="Department" numFmtId="0" hierarchy="2" level="1">
      <sharedItems count="5">
        <s v="Logistics"/>
        <s v="Management"/>
        <s v="Operations"/>
        <s v="Sales"/>
        <s v="Support"/>
      </sharedItems>
    </cacheField>
    <cacheField name="[Measures].[Sum of OT_Hours]" caption="Sum of OT_Hours" numFmtId="0" hierarchy="28"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fieldsUsage count="2">
        <fieldUsage x="-1"/>
        <fieldUsage x="0"/>
      </fieldsUsage>
    </cacheHierarchy>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2"/>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49652776" backgroundQuery="1" createdVersion="8" refreshedVersion="8" minRefreshableVersion="3" recordCount="0" supportSubquery="1" supportAdvancedDrill="1" xr:uid="{1F7371A1-545F-4EF1-9B79-148451BA45E5}">
  <cacheSource type="external" connectionId="7"/>
  <cacheFields count="5">
    <cacheField name="[Dim_Employee].[Name].[Name]" caption="Name" numFmtId="0" hierarchy="1" level="1">
      <sharedItems count="60">
        <s v="Aashi Thaman"/>
        <s v="Aayush Bhavsar"/>
        <s v="Alexander Bera"/>
        <s v="Alka Ratta"/>
        <s v="Anirudh Modi"/>
        <s v="Avni Bhandari"/>
        <s v="Azad Khalsa"/>
        <s v="Bachittar Dora"/>
        <s v="Balvan Krishnan"/>
        <s v="Barkha Randhawa"/>
        <s v="Bhanumati Bakshi"/>
        <s v="Brinda Handa"/>
        <s v="Chaitanya Tella"/>
        <s v="Dalbir Madan"/>
        <s v="Darika Memon"/>
        <s v="David Sarkar"/>
        <s v="Dhriti Loke"/>
        <s v="Ekaja Nayar"/>
        <s v="Faraj Choudhury"/>
        <s v="Ganga Mall"/>
        <s v="Guneet Raghavan"/>
        <s v="Hamsini Minhas"/>
        <s v="Ikbal Chokshi"/>
        <s v="Ishanvi Mohanty"/>
        <s v="Jack Sinha"/>
        <s v="Jagdish Swaminathan"/>
        <s v="Jagrati Goswami"/>
        <s v="Jasmit Chand"/>
        <s v="Kalpit Kaur"/>
        <s v="Keya Mall"/>
        <s v="Liam Ramakrishnan"/>
        <s v="Lipika Kohli"/>
        <s v="Max Balan"/>
        <s v="Megha Sule"/>
        <s v="Mugdha Kale"/>
        <s v="Nidhi Magar"/>
        <s v="Nirja Setty"/>
        <s v="Noah Bhatt"/>
        <s v="Oscar Sengupta"/>
        <s v="Pahal Nanda"/>
        <s v="Reva Kohli"/>
        <s v="Reva Soman"/>
        <s v="Ridhi Khare"/>
        <s v="Rohan Choudhary"/>
        <s v="Sanya Sarna"/>
        <s v="Saumya Sehgal"/>
        <s v="Sneha Chauhan"/>
        <s v="Tripti Chacko"/>
        <s v="Umang Parmer"/>
        <s v="Unnati Bala"/>
        <s v="Utkarsh Bandi"/>
        <s v="Vasatika Lata"/>
        <s v="Warhi Chowdhury"/>
        <s v="Warinder Manda"/>
        <s v="Wazir Prabhu"/>
        <s v="Wazir Shenoy"/>
        <s v="Wishi Raman"/>
        <s v="Xavier Dave"/>
        <s v="Yamini Handa"/>
        <s v="Zayyan Vasa"/>
      </sharedItems>
    </cacheField>
    <cacheField name="[Measures].[Sum of Daily_Pay]" caption="Sum of Daily_Pay" numFmtId="0" hierarchy="25" level="32767"/>
    <cacheField name="[Fact_Timesheets].[Shift_Date].[Shift_Date]" caption="Shift_Date" numFmtId="0" hierarchy="6" level="1">
      <sharedItems containsSemiMixedTypes="0" containsNonDate="0" containsDate="1" containsString="0" minDate="2026-08-01T00:00:00" maxDate="2026-08-31T00:00:00" count="25">
        <d v="2026-08-01T00:00:00"/>
        <d v="2026-08-02T00:00:00"/>
        <d v="2026-08-03T00:00:00"/>
        <d v="2026-08-04T00:00:00"/>
        <d v="2026-08-05T00:00:00"/>
        <d v="2026-08-06T00:00:00"/>
        <d v="2026-08-08T00:00:00"/>
        <d v="2026-08-09T00:00:00"/>
        <d v="2026-08-10T00:00:00"/>
        <d v="2026-08-12T00:00:00"/>
        <d v="2026-08-13T00:00:00"/>
        <d v="2026-08-14T00:00:00"/>
        <d v="2026-08-15T00:00:00"/>
        <d v="2026-08-16T00:00:00"/>
        <d v="2026-08-17T00:00:00"/>
        <d v="2026-08-20T00:00:00"/>
        <d v="2026-08-21T00:00:00"/>
        <d v="2026-08-22T00:00:00"/>
        <d v="2026-08-23T00:00:00"/>
        <d v="2026-08-24T00:00:00"/>
        <d v="2026-08-26T00:00:00"/>
        <d v="2026-08-27T00:00:00"/>
        <d v="2026-08-28T00:00:00"/>
        <d v="2026-08-29T00:00:00"/>
        <d v="2026-08-30T00:00:00"/>
      </sharedItems>
    </cacheField>
    <cacheField name="[Fact_Timesheets].[Shift_Date (Month)].[Shift_Date (Month)]" caption="Shift_Date (Month)" numFmtId="0" hierarchy="14" level="1">
      <sharedItems count="2">
        <s v="Jul"/>
        <s v="Aug"/>
      </sharedItems>
    </cacheField>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2" memberValueDatatype="130" unbalanced="0">
      <fieldsUsage count="2">
        <fieldUsage x="-1"/>
        <fieldUsage x="0"/>
      </fieldsUsage>
    </cacheHierarchy>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2" memberValueDatatype="7" unbalanced="0">
      <fieldsUsage count="2">
        <fieldUsage x="-1"/>
        <fieldUsage x="2"/>
      </fieldsUsage>
    </cacheHierarchy>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2" memberValueDatatype="130" unbalanced="0">
      <fieldsUsage count="2">
        <fieldUsage x="-1"/>
        <fieldUsage x="3"/>
      </fieldsUsage>
    </cacheHierarchy>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4"/>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52314816" backgroundQuery="1" createdVersion="8" refreshedVersion="8" minRefreshableVersion="3" recordCount="0" supportSubquery="1" supportAdvancedDrill="1" xr:uid="{27BE9923-DA7A-476B-8A4E-18EABF067D49}">
  <cacheSource type="external" connectionId="7"/>
  <cacheFields count="2">
    <cacheField name="[Measures].[Sum of Daily_Pay]" caption="Sum of Daily_Pay" numFmtId="0" hierarchy="25"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1"/>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oneField="1" hidden="1">
      <fieldsUsage count="1">
        <fieldUsage x="0"/>
      </fieldsUsage>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54166664" backgroundQuery="1" createdVersion="8" refreshedVersion="8" minRefreshableVersion="3" recordCount="0" supportSubquery="1" supportAdvancedDrill="1" xr:uid="{E1373B30-EA90-4CB9-88E7-FE4B8AE3798E}">
  <cacheSource type="external" connectionId="7"/>
  <cacheFields count="4">
    <cacheField name="[Dim_Employee].[Name].[Name]" caption="Name" numFmtId="0" hierarchy="1" level="1">
      <sharedItems count="60">
        <s v="Aashi Thaman"/>
        <s v="Aayush Bhavsar"/>
        <s v="Alexander Bera"/>
        <s v="Alka Ratta"/>
        <s v="Anirudh Modi"/>
        <s v="Avni Bhandari"/>
        <s v="Azad Khalsa"/>
        <s v="Bachittar Dora"/>
        <s v="Balvan Krishnan"/>
        <s v="Barkha Randhawa"/>
        <s v="Bhanumati Bakshi"/>
        <s v="Brinda Handa"/>
        <s v="Chaitanya Tella"/>
        <s v="Dalbir Madan"/>
        <s v="Darika Memon"/>
        <s v="David Sarkar"/>
        <s v="Dhriti Loke"/>
        <s v="Ekaja Nayar"/>
        <s v="Faraj Choudhury"/>
        <s v="Ganga Mall"/>
        <s v="Guneet Raghavan"/>
        <s v="Hamsini Minhas"/>
        <s v="Ikbal Chokshi"/>
        <s v="Ishanvi Mohanty"/>
        <s v="Jack Sinha"/>
        <s v="Jagdish Swaminathan"/>
        <s v="Jagrati Goswami"/>
        <s v="Jasmit Chand"/>
        <s v="Kalpit Kaur"/>
        <s v="Keya Mall"/>
        <s v="Liam Ramakrishnan"/>
        <s v="Lipika Kohli"/>
        <s v="Max Balan"/>
        <s v="Megha Sule"/>
        <s v="Mugdha Kale"/>
        <s v="Nidhi Magar"/>
        <s v="Nirja Setty"/>
        <s v="Noah Bhatt"/>
        <s v="Oscar Sengupta"/>
        <s v="Pahal Nanda"/>
        <s v="Reva Kohli"/>
        <s v="Reva Soman"/>
        <s v="Ridhi Khare"/>
        <s v="Rohan Choudhary"/>
        <s v="Sanya Sarna"/>
        <s v="Saumya Sehgal"/>
        <s v="Sneha Chauhan"/>
        <s v="Tripti Chacko"/>
        <s v="Umang Parmer"/>
        <s v="Unnati Bala"/>
        <s v="Utkarsh Bandi"/>
        <s v="Vasatika Lata"/>
        <s v="Warhi Chowdhury"/>
        <s v="Warinder Manda"/>
        <s v="Wazir Prabhu"/>
        <s v="Wazir Shenoy"/>
        <s v="Wishi Raman"/>
        <s v="Xavier Dave"/>
        <s v="Yamini Handa"/>
        <s v="Zayyan Vasa"/>
      </sharedItems>
    </cacheField>
    <cacheField name="[Fact_Timesheets].[Shift_Date].[Shift_Date]" caption="Shift_Date" numFmtId="0" hierarchy="6" level="1">
      <sharedItems containsSemiMixedTypes="0" containsNonDate="0" containsDate="1" containsString="0" minDate="2026-07-01T00:00:00" maxDate="2026-07-31T00:00:00" count="24">
        <d v="2026-07-01T00:00:00"/>
        <d v="2026-07-02T00:00:00"/>
        <d v="2026-07-03T00:00:00"/>
        <d v="2026-07-05T00:00:00"/>
        <d v="2026-07-06T00:00:00"/>
        <d v="2026-07-07T00:00:00"/>
        <d v="2026-07-08T00:00:00"/>
        <d v="2026-07-09T00:00:00"/>
        <d v="2026-07-10T00:00:00"/>
        <d v="2026-07-13T00:00:00"/>
        <d v="2026-07-14T00:00:00"/>
        <d v="2026-07-15T00:00:00"/>
        <d v="2026-07-16T00:00:00"/>
        <d v="2026-07-17T00:00:00"/>
        <d v="2026-07-20T00:00:00"/>
        <d v="2026-07-21T00:00:00"/>
        <d v="2026-07-22T00:00:00"/>
        <d v="2026-07-23T00:00:00"/>
        <d v="2026-07-24T00:00:00"/>
        <d v="2026-07-26T00:00:00"/>
        <d v="2026-07-27T00:00:00"/>
        <d v="2026-07-28T00:00:00"/>
        <d v="2026-07-29T00:00:00"/>
        <d v="2026-07-30T00:00:00"/>
      </sharedItems>
    </cacheField>
    <cacheField name="[Fact_Timesheets].[Exception_Flag].[Exception_Flag]" caption="Exception_Flag" numFmtId="0" hierarchy="16" level="1">
      <sharedItems containsSemiMixedTypes="0" containsNonDate="0" containsString="0"/>
    </cacheField>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2" memberValueDatatype="130" unbalanced="0">
      <fieldsUsage count="2">
        <fieldUsage x="-1"/>
        <fieldUsage x="0"/>
      </fieldsUsage>
    </cacheHierarchy>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2" memberValueDatatype="7" unbalanced="0">
      <fieldsUsage count="2">
        <fieldUsage x="-1"/>
        <fieldUsage x="1"/>
      </fieldsUsage>
    </cacheHierarchy>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2" memberValueDatatype="130" unbalanced="0">
      <fieldsUsage count="2">
        <fieldUsage x="-1"/>
        <fieldUsage x="2"/>
      </fieldsUsage>
    </cacheHierarchy>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3"/>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56944442" backgroundQuery="1" createdVersion="8" refreshedVersion="8" minRefreshableVersion="3" recordCount="0" supportSubquery="1" supportAdvancedDrill="1" xr:uid="{A2710F66-CFD3-486E-8AB4-1D8C5CBE8A7E}">
  <cacheSource type="external" connectionId="7"/>
  <cacheFields count="2">
    <cacheField name="[Measures].[Average of Daily_Pay]" caption="Average of Daily_Pay" numFmtId="0" hierarchy="34"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1"/>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56944442" backgroundQuery="1" createdVersion="8" refreshedVersion="8" minRefreshableVersion="3" recordCount="0" supportSubquery="1" supportAdvancedDrill="1" xr:uid="{D20851BA-9005-4C65-900F-0059E11EC3CE}">
  <cacheSource type="external" connectionId="7"/>
  <cacheFields count="2">
    <cacheField name="[Measures].[Sum of OT_Hours]" caption="Sum of OT_Hours" numFmtId="0" hierarchy="28"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1"/>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58449074" backgroundQuery="1" createdVersion="8" refreshedVersion="8" minRefreshableVersion="3" recordCount="0" supportSubquery="1" supportAdvancedDrill="1" xr:uid="{C003B5F9-8403-462C-AF7B-9410698F35FA}">
  <cacheSource type="external" connectionId="7"/>
  <cacheFields count="2">
    <cacheField name="[Measures].[Sum of Hours_Worked]" caption="Sum of Hours_Worked" numFmtId="0" hierarchy="35"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1"/>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59374998" backgroundQuery="1" createdVersion="8" refreshedVersion="8" minRefreshableVersion="3" recordCount="0" supportSubquery="1" supportAdvancedDrill="1" xr:uid="{D4E766B2-D63B-4B5E-9B9B-808DE42A51FC}">
  <cacheSource type="external" connectionId="7"/>
  <cacheFields count="3">
    <cacheField name="[Dim_Employee].[Department].[Department]" caption="Department" numFmtId="0" hierarchy="2" level="1">
      <sharedItems count="5">
        <s v="Logistics"/>
        <s v="Management"/>
        <s v="Operations"/>
        <s v="Sales"/>
        <s v="Support"/>
      </sharedItems>
    </cacheField>
    <cacheField name="[Measures].[Sum of OT_Hours]" caption="Sum of OT_Hours" numFmtId="0" hierarchy="28"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fieldsUsage count="2">
        <fieldUsage x="-1"/>
        <fieldUsage x="0"/>
      </fieldsUsage>
    </cacheHierarchy>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2"/>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61921299" backgroundQuery="1" createdVersion="8" refreshedVersion="8" minRefreshableVersion="3" recordCount="0" supportSubquery="1" supportAdvancedDrill="1" xr:uid="{85E9FFAA-E160-42D9-8955-C22179A4842C}">
  <cacheSource type="external" connectionId="7"/>
  <cacheFields count="3">
    <cacheField name="[Dim_Employee].[Department].[Department]" caption="Department" numFmtId="0" hierarchy="2" level="1">
      <sharedItems count="5">
        <s v="Logistics"/>
        <s v="Management"/>
        <s v="Operations"/>
        <s v="Sales"/>
        <s v="Support"/>
      </sharedItems>
    </cacheField>
    <cacheField name="[Measures].[Sum of Hours_Worked]" caption="Sum of Hours_Worked" numFmtId="0" hierarchy="35"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fieldsUsage count="2">
        <fieldUsage x="-1"/>
        <fieldUsage x="0"/>
      </fieldsUsage>
    </cacheHierarchy>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2"/>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65277778" backgroundQuery="1" createdVersion="8" refreshedVersion="8" minRefreshableVersion="3" recordCount="0" supportSubquery="1" supportAdvancedDrill="1" xr:uid="{7FD52171-5A4C-483D-8955-4818B23C2397}">
  <cacheSource type="external" connectionId="7"/>
  <cacheFields count="3">
    <cacheField name="[Dim_Employee].[Department].[Department]" caption="Department" numFmtId="0" hierarchy="2" level="1">
      <sharedItems count="5">
        <s v="Logistics"/>
        <s v="Management"/>
        <s v="Operations"/>
        <s v="Sales"/>
        <s v="Support"/>
      </sharedItems>
    </cacheField>
    <cacheField name="[Measures].[Average of Hourly_Rate]" caption="Average of Hourly_Rate" numFmtId="0" hierarchy="37"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fieldsUsage count="2">
        <fieldUsage x="-1"/>
        <fieldUsage x="0"/>
      </fieldsUsage>
    </cacheHierarchy>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2"/>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oneField="1" hidden="1">
      <fieldsUsage count="1">
        <fieldUsage x="1"/>
      </fieldsUsage>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68749996" backgroundQuery="1" createdVersion="8" refreshedVersion="8" minRefreshableVersion="3" recordCount="0" supportSubquery="1" supportAdvancedDrill="1" xr:uid="{A40FF184-17C6-452A-BF0B-213A1218788F}">
  <cacheSource type="external" connectionId="7"/>
  <cacheFields count="3">
    <cacheField name="[Dim_Employee].[Department].[Department]" caption="Department" numFmtId="0" hierarchy="2" level="1">
      <sharedItems count="5">
        <s v="Logistics"/>
        <s v="Management"/>
        <s v="Operations"/>
        <s v="Sales"/>
        <s v="Support"/>
      </sharedItems>
    </cacheField>
    <cacheField name="[Measures].[Sum of Hours_Worked]" caption="Sum of Hours_Worked" numFmtId="0" hierarchy="35"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fieldsUsage count="2">
        <fieldUsage x="-1"/>
        <fieldUsage x="0"/>
      </fieldsUsage>
    </cacheHierarchy>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2"/>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4770601851" backgroundQuery="1" createdVersion="8" refreshedVersion="8" minRefreshableVersion="3" recordCount="0" supportSubquery="1" supportAdvancedDrill="1" xr:uid="{E328CE2A-573E-471B-A02E-2B719DAFC5EE}">
  <cacheSource type="external" connectionId="7"/>
  <cacheFields count="3">
    <cacheField name="[Dim_Employee].[Department].[Department]" caption="Department" numFmtId="0" hierarchy="2" level="1">
      <sharedItems count="5">
        <s v="Logistics"/>
        <s v="Management"/>
        <s v="Operations"/>
        <s v="Sales"/>
        <s v="Support"/>
      </sharedItems>
    </cacheField>
    <cacheField name="[Measures].[Sum of Daily_Pay]" caption="Sum of Daily_Pay" numFmtId="0" hierarchy="25" level="32767"/>
    <cacheField name="[Fact_Timesheets].[Day_Name].[Day_Name]" caption="Day_Name" numFmtId="0" hierarchy="17"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fieldsUsage count="2">
        <fieldUsage x="-1"/>
        <fieldUsage x="0"/>
      </fieldsUsage>
    </cacheHierarchy>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0"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2"/>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61991666663" backgroundQuery="1" createdVersion="3" refreshedVersion="8" minRefreshableVersion="3" recordCount="0" supportSubquery="1" supportAdvancedDrill="1" xr:uid="{062CF643-FC9B-4FB1-9D20-B823F2F5ACD8}">
  <cacheSource type="external" connectionId="7">
    <extLst>
      <ext xmlns:x14="http://schemas.microsoft.com/office/spreadsheetml/2009/9/main" uri="{F057638F-6D5F-4e77-A914-E7F072B9BCA8}">
        <x14:sourceConnection name="ThisWorkbookDataModel"/>
      </ext>
    </extLst>
  </cacheSource>
  <cacheFields count="0"/>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2"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0" memberValueDatatype="130" unbalanced="0"/>
    <cacheHierarchy uniqueName="[Fact_Timesheets].[Day_Name]" caption="Day_Name" attribute="1" defaultMemberUniqueName="[Fact_Timesheets].[Day_Name].[All]" allUniqueName="[Fact_Timesheets].[Day_Name].[All]" dimensionUniqueName="[Fact_Timesheets]" displayFolder="" count="2" memberValueDatatype="130" unbalanced="0"/>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300771647"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nk" refreshedDate="46253.971870138892" backgroundQuery="1" createdVersion="8" refreshedVersion="8" minRefreshableVersion="3" recordCount="0" supportSubquery="1" supportAdvancedDrill="1" xr:uid="{835054E4-2CAE-4551-AD24-F337D8E78208}">
  <cacheSource type="external" connectionId="7">
    <extLst>
      <ext xmlns:x14="http://schemas.microsoft.com/office/spreadsheetml/2009/9/main" uri="{F057638F-6D5F-4e77-A914-E7F072B9BCA8}">
        <x14:sourceConnection name="ThisWorkbookDataModel"/>
      </ext>
    </extLst>
  </cacheSource>
  <cacheFields count="3">
    <cacheField name="[Fact_Timesheets].[Day_Name].[Day_Name]" caption="Day_Name" numFmtId="0" hierarchy="17" level="1">
      <sharedItems count="7">
        <s v="Sun"/>
        <s v="Mon"/>
        <s v="Tue"/>
        <s v="Wed"/>
        <s v="Thu"/>
        <s v="Fri"/>
        <s v="Sat"/>
      </sharedItems>
    </cacheField>
    <cacheField name="[Measures].[Sum of Daily_Pay]" caption="Sum of Daily_Pay" numFmtId="0" hierarchy="25" level="32767"/>
    <cacheField name="[Fact_Timesheets].[Exception_Flag].[Exception_Flag]" caption="Exception_Flag" numFmtId="0" hierarchy="16" level="1">
      <sharedItems containsSemiMixedTypes="0" containsNonDate="0" containsString="0"/>
    </cacheField>
  </cacheFields>
  <cacheHierarchies count="38">
    <cacheHierarchy uniqueName="[Dim_Employee].[Emp_ID]" caption="Emp_ID" attribute="1" defaultMemberUniqueName="[Dim_Employee].[Emp_ID].[All]" allUniqueName="[Dim_Employee].[Emp_ID].[All]" dimensionUniqueName="[Dim_Employee]" displayFolder="" count="0" memberValueDatatype="130" unbalanced="0"/>
    <cacheHierarchy uniqueName="[Dim_Employee].[Name]" caption="Name" attribute="1" defaultMemberUniqueName="[Dim_Employee].[Name].[All]" allUniqueName="[Dim_Employee].[Name].[All]" dimensionUniqueName="[Dim_Employee]" displayFolder="" count="0" memberValueDatatype="130" unbalanced="0"/>
    <cacheHierarchy uniqueName="[Dim_Employee].[Department]" caption="Department" attribute="1" defaultMemberUniqueName="[Dim_Employee].[Department].[All]" allUniqueName="[Dim_Employee].[Department].[All]" dimensionUniqueName="[Dim_Employee]" displayFolder="" count="2" memberValueDatatype="130" unbalanced="0"/>
    <cacheHierarchy uniqueName="[Dim_Employee].[Hourly_Rate]" caption="Hourly_Rate" attribute="1" defaultMemberUniqueName="[Dim_Employee].[Hourly_Rate].[All]" allUniqueName="[Dim_Employee].[Hourly_Rate].[All]" dimensionUniqueName="[Dim_Employee]" displayFolder="" count="0" memberValueDatatype="20" unbalanced="0"/>
    <cacheHierarchy uniqueName="[Fact_Timesheets].[Source.Name]" caption="Source.Name" attribute="1" defaultMemberUniqueName="[Fact_Timesheets].[Source.Name].[All]" allUniqueName="[Fact_Timesheets].[Source.Name].[All]" dimensionUniqueName="[Fact_Timesheets]" displayFolder="" count="0" memberValueDatatype="130" unbalanced="0"/>
    <cacheHierarchy uniqueName="[Fact_Timesheets].[Employee_ID]" caption="Employee_ID" attribute="1" defaultMemberUniqueName="[Fact_Timesheets].[Employee_ID].[All]" allUniqueName="[Fact_Timesheets].[Employee_ID].[All]" dimensionUniqueName="[Fact_Timesheets]" displayFolder="" count="0" memberValueDatatype="130" unbalanced="0"/>
    <cacheHierarchy uniqueName="[Fact_Timesheets].[Shift_Date]" caption="Shift_Date" attribute="1" time="1" defaultMemberUniqueName="[Fact_Timesheets].[Shift_Date].[All]" allUniqueName="[Fact_Timesheets].[Shift_Date].[All]" dimensionUniqueName="[Fact_Timesheets]" displayFolder="" count="0" memberValueDatatype="7" unbalanced="0"/>
    <cacheHierarchy uniqueName="[Fact_Timesheets].[Punch_In]" caption="Punch_In" attribute="1" time="1" defaultMemberUniqueName="[Fact_Timesheets].[Punch_In].[All]" allUniqueName="[Fact_Timesheets].[Punch_In].[All]" dimensionUniqueName="[Fact_Timesheets]" displayFolder="" count="0" memberValueDatatype="7" unbalanced="0"/>
    <cacheHierarchy uniqueName="[Fact_Timesheets].[Punch_Out]" caption="Punch_Out" attribute="1" time="1" defaultMemberUniqueName="[Fact_Timesheets].[Punch_Out].[All]" allUniqueName="[Fact_Timesheets].[Punch_Out].[All]" dimensionUniqueName="[Fact_Timesheets]" displayFolder="" count="0" memberValueDatatype="7" unbalanced="0"/>
    <cacheHierarchy uniqueName="[Fact_Timesheets].[Clean_Punch_Out]" caption="Clean_Punch_Out" attribute="1" defaultMemberUniqueName="[Fact_Timesheets].[Clean_Punch_Out].[All]" allUniqueName="[Fact_Timesheets].[Clean_Punch_Out].[All]" dimensionUniqueName="[Fact_Timesheets]" displayFolder="" count="0" memberValueDatatype="130" unbalanced="0"/>
    <cacheHierarchy uniqueName="[Fact_Timesheets].[Hours_Worked]" caption="Hours_Worked" attribute="1" defaultMemberUniqueName="[Fact_Timesheets].[Hours_Worked].[All]" allUniqueName="[Fact_Timesheets].[Hours_Worked].[All]" dimensionUniqueName="[Fact_Timesheets]" displayFolder="" count="0" memberValueDatatype="5" unbalanced="0"/>
    <cacheHierarchy uniqueName="[Fact_Timesheets].[Reg_Hours]" caption="Reg_Hours" attribute="1" defaultMemberUniqueName="[Fact_Timesheets].[Reg_Hours].[All]" allUniqueName="[Fact_Timesheets].[Reg_Hours].[All]" dimensionUniqueName="[Fact_Timesheets]" displayFolder="" count="0" memberValueDatatype="5" unbalanced="0"/>
    <cacheHierarchy uniqueName="[Fact_Timesheets].[OT_Hours]" caption="OT_Hours" attribute="1" defaultMemberUniqueName="[Fact_Timesheets].[OT_Hours].[All]" allUniqueName="[Fact_Timesheets].[OT_Hours].[All]" dimensionUniqueName="[Fact_Timesheets]" displayFolder="" count="0" memberValueDatatype="5" unbalanced="0"/>
    <cacheHierarchy uniqueName="[Fact_Timesheets].[Daily_Pay]" caption="Daily_Pay" attribute="1" defaultMemberUniqueName="[Fact_Timesheets].[Daily_Pay].[All]" allUniqueName="[Fact_Timesheets].[Daily_Pay].[All]" dimensionUniqueName="[Fact_Timesheets]" displayFolder="" count="0" memberValueDatatype="5" unbalanced="0"/>
    <cacheHierarchy uniqueName="[Fact_Timesheets].[Shift_Date (Month)]" caption="Shift_Date (Month)" attribute="1" defaultMemberUniqueName="[Fact_Timesheets].[Shift_Date (Month)].[All]" allUniqueName="[Fact_Timesheets].[Shift_Date (Month)].[All]" dimensionUniqueName="[Fact_Timesheets]" displayFolder="" count="2" memberValueDatatype="130" unbalanced="0"/>
    <cacheHierarchy uniqueName="[Fact_Timesheets].[Shift_Date (Day)]" caption="Shift_Date (Day)" attribute="1" defaultMemberUniqueName="[Fact_Timesheets].[Shift_Date (Day)].[All]" allUniqueName="[Fact_Timesheets].[Shift_Date (Day)].[All]" dimensionUniqueName="[Fact_Timesheets]" displayFolder="" count="0" memberValueDatatype="130" unbalanced="0"/>
    <cacheHierarchy uniqueName="[Fact_Timesheets].[Exception_Flag]" caption="Exception_Flag" attribute="1" defaultMemberUniqueName="[Fact_Timesheets].[Exception_Flag].[All]" allUniqueName="[Fact_Timesheets].[Exception_Flag].[All]" dimensionUniqueName="[Fact_Timesheets]" displayFolder="" count="2" memberValueDatatype="130" unbalanced="0">
      <fieldsUsage count="2">
        <fieldUsage x="-1"/>
        <fieldUsage x="2"/>
      </fieldsUsage>
    </cacheHierarchy>
    <cacheHierarchy uniqueName="[Fact_Timesheets].[Day_Name]" caption="Day_Name" attribute="1" defaultMemberUniqueName="[Fact_Timesheets].[Day_Name].[All]" allUniqueName="[Fact_Timesheets].[Day_Name].[All]" dimensionUniqueName="[Fact_Timesheets]" displayFolder="" count="2" memberValueDatatype="130" unbalanced="0">
      <fieldsUsage count="2">
        <fieldUsage x="-1"/>
        <fieldUsage x="0"/>
      </fieldsUsage>
    </cacheHierarchy>
    <cacheHierarchy uniqueName="[Fact_Timesheets].[Week_Number]" caption="Week_Number" attribute="1" defaultMemberUniqueName="[Fact_Timesheets].[Week_Number].[All]" allUniqueName="[Fact_Timesheets].[Week_Number].[All]" dimensionUniqueName="[Fact_Timesheets]" displayFolder="" count="0" memberValueDatatype="20" unbalanced="0"/>
    <cacheHierarchy uniqueName="[Fact_Timesheets].[Day_Num]" caption="Day_Num" attribute="1" defaultMemberUniqueName="[Fact_Timesheets].[Day_Num].[All]" allUniqueName="[Fact_Timesheets].[Day_Num].[All]" dimensionUniqueName="[Fact_Timesheets]" displayFolder="" count="0" memberValueDatatype="20" unbalanced="0"/>
    <cacheHierarchy uniqueName="[Fact_Timesheets].[Shift_Date (Day Index)]" caption="Shift_Date (Day Index)" attribute="1" defaultMemberUniqueName="[Fact_Timesheets].[Shift_Date (Day Index)].[All]" allUniqueName="[Fact_Timesheets].[Shift_Date (Day Index)].[All]" dimensionUniqueName="[Fact_Timesheets]" displayFolder="" count="0" memberValueDatatype="5" unbalanced="0" hidden="1"/>
    <cacheHierarchy uniqueName="[Fact_Timesheets].[Shift_Date (Month Index)]" caption="Shift_Date (Month Index)" attribute="1" defaultMemberUniqueName="[Fact_Timesheets].[Shift_Date (Month Index)].[All]" allUniqueName="[Fact_Timesheets].[Shift_Date (Month Index)].[All]" dimensionUniqueName="[Fact_Timesheets]" displayFolder="" count="0" memberValueDatatype="20" unbalanced="0" hidden="1"/>
    <cacheHierarchy uniqueName="[Measures].[__XL_Count Fact_Timesheets]" caption="__XL_Count Fact_Timesheets" measure="1" displayFolder="" measureGroup="Fact_Timesheets" count="0" hidden="1"/>
    <cacheHierarchy uniqueName="[Measures].[__XL_Count Dim_Employee]" caption="__XL_Count Dim_Employee" measure="1" displayFolder="" measureGroup="Dim_Employee" count="0" hidden="1"/>
    <cacheHierarchy uniqueName="[Measures].[__No measures defined]" caption="__No measures defined" measure="1" displayFolder="" count="0" hidden="1"/>
    <cacheHierarchy uniqueName="[Measures].[Sum of Daily_Pay]" caption="Sum of Daily_Pay" measure="1" displayFolder="" measureGroup="Fact_Timesheets"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Emp_ID]" caption="Count of Emp_ID" measure="1" displayFolder="" measureGroup="Dim_Employee" count="0" hidden="1">
      <extLst>
        <ext xmlns:x15="http://schemas.microsoft.com/office/spreadsheetml/2010/11/main" uri="{B97F6D7D-B522-45F9-BDA1-12C45D357490}">
          <x15:cacheHierarchy aggregatedColumn="0"/>
        </ext>
      </extLst>
    </cacheHierarchy>
    <cacheHierarchy uniqueName="[Measures].[Count of Name]" caption="Count of Name" measure="1" displayFolder="" measureGroup="Dim_Employee" count="0" hidden="1">
      <extLst>
        <ext xmlns:x15="http://schemas.microsoft.com/office/spreadsheetml/2010/11/main" uri="{B97F6D7D-B522-45F9-BDA1-12C45D357490}">
          <x15:cacheHierarchy aggregatedColumn="1"/>
        </ext>
      </extLst>
    </cacheHierarchy>
    <cacheHierarchy uniqueName="[Measures].[Sum of OT_Hours]" caption="Sum of OT_Hours" measure="1" displayFolder="" measureGroup="Fact_Timesheets" count="0" hidden="1">
      <extLst>
        <ext xmlns:x15="http://schemas.microsoft.com/office/spreadsheetml/2010/11/main" uri="{B97F6D7D-B522-45F9-BDA1-12C45D357490}">
          <x15:cacheHierarchy aggregatedColumn="12"/>
        </ext>
      </extLst>
    </cacheHierarchy>
    <cacheHierarchy uniqueName="[Measures].[Count of Shift_Date]" caption="Count of Shift_Date" measure="1" displayFolder="" measureGroup="Fact_Timesheets" count="0" hidden="1">
      <extLst>
        <ext xmlns:x15="http://schemas.microsoft.com/office/spreadsheetml/2010/11/main" uri="{B97F6D7D-B522-45F9-BDA1-12C45D357490}">
          <x15:cacheHierarchy aggregatedColumn="6"/>
        </ext>
      </extLst>
    </cacheHierarchy>
    <cacheHierarchy uniqueName="[Measures].[Count of Clean_Punch_Out]" caption="Count of Clean_Punch_Out" measure="1" displayFolder="" measureGroup="Fact_Timesheets" count="0" hidden="1">
      <extLst>
        <ext xmlns:x15="http://schemas.microsoft.com/office/spreadsheetml/2010/11/main" uri="{B97F6D7D-B522-45F9-BDA1-12C45D357490}">
          <x15:cacheHierarchy aggregatedColumn="9"/>
        </ext>
      </extLst>
    </cacheHierarchy>
    <cacheHierarchy uniqueName="[Measures].[Count of Exception_Flag]" caption="Count of Exception_Flag" measure="1" displayFolder="" measureGroup="Fact_Timesheets" count="0" hidden="1">
      <extLst>
        <ext xmlns:x15="http://schemas.microsoft.com/office/spreadsheetml/2010/11/main" uri="{B97F6D7D-B522-45F9-BDA1-12C45D357490}">
          <x15:cacheHierarchy aggregatedColumn="16"/>
        </ext>
      </extLst>
    </cacheHierarchy>
    <cacheHierarchy uniqueName="[Measures].[Count of Day_Name]" caption="Count of Day_Name" measure="1" displayFolder="" measureGroup="Fact_Timesheets" count="0" hidden="1">
      <extLst>
        <ext xmlns:x15="http://schemas.microsoft.com/office/spreadsheetml/2010/11/main" uri="{B97F6D7D-B522-45F9-BDA1-12C45D357490}">
          <x15:cacheHierarchy aggregatedColumn="17"/>
        </ext>
      </extLst>
    </cacheHierarchy>
    <cacheHierarchy uniqueName="[Measures].[Sum of Week_Number]" caption="Sum of Week_Number" measure="1" displayFolder="" measureGroup="Fact_Timesheets" count="0" hidden="1">
      <extLst>
        <ext xmlns:x15="http://schemas.microsoft.com/office/spreadsheetml/2010/11/main" uri="{B97F6D7D-B522-45F9-BDA1-12C45D357490}">
          <x15:cacheHierarchy aggregatedColumn="18"/>
        </ext>
      </extLst>
    </cacheHierarchy>
    <cacheHierarchy uniqueName="[Measures].[Average of Daily_Pay]" caption="Average of Daily_Pay" measure="1" displayFolder="" measureGroup="Fact_Timesheets" count="0" hidden="1">
      <extLst>
        <ext xmlns:x15="http://schemas.microsoft.com/office/spreadsheetml/2010/11/main" uri="{B97F6D7D-B522-45F9-BDA1-12C45D357490}">
          <x15:cacheHierarchy aggregatedColumn="13"/>
        </ext>
      </extLst>
    </cacheHierarchy>
    <cacheHierarchy uniqueName="[Measures].[Sum of Hours_Worked]" caption="Sum of Hours_Worked" measure="1" displayFolder="" measureGroup="Fact_Timesheets" count="0" hidden="1">
      <extLst>
        <ext xmlns:x15="http://schemas.microsoft.com/office/spreadsheetml/2010/11/main" uri="{B97F6D7D-B522-45F9-BDA1-12C45D357490}">
          <x15:cacheHierarchy aggregatedColumn="10"/>
        </ext>
      </extLst>
    </cacheHierarchy>
    <cacheHierarchy uniqueName="[Measures].[Sum of Hourly_Rate]" caption="Sum of Hourly_Rate" measure="1" displayFolder="" measureGroup="Dim_Employee" count="0" hidden="1">
      <extLst>
        <ext xmlns:x15="http://schemas.microsoft.com/office/spreadsheetml/2010/11/main" uri="{B97F6D7D-B522-45F9-BDA1-12C45D357490}">
          <x15:cacheHierarchy aggregatedColumn="3"/>
        </ext>
      </extLst>
    </cacheHierarchy>
    <cacheHierarchy uniqueName="[Measures].[Average of Hourly_Rate]" caption="Average of Hourly_Rate" measure="1" displayFolder="" measureGroup="Dim_Employee" count="0" hidden="1">
      <extLst>
        <ext xmlns:x15="http://schemas.microsoft.com/office/spreadsheetml/2010/11/main" uri="{B97F6D7D-B522-45F9-BDA1-12C45D357490}">
          <x15:cacheHierarchy aggregatedColumn="3"/>
        </ext>
      </extLst>
    </cacheHierarchy>
  </cacheHierarchies>
  <kpis count="0"/>
  <dimensions count="3">
    <dimension name="Dim_Employee" uniqueName="[Dim_Employee]" caption="Dim_Employee"/>
    <dimension name="Fact_Timesheets" uniqueName="[Fact_Timesheets]" caption="Fact_Timesheets"/>
    <dimension measure="1" name="Measures" uniqueName="[Measures]" caption="Measures"/>
  </dimensions>
  <measureGroups count="2">
    <measureGroup name="Dim_Employee" caption="Dim_Employee"/>
    <measureGroup name="Fact_Timesheets" caption="Fact_Timesheets"/>
  </measureGroups>
  <maps count="3">
    <map measureGroup="0" dimension="0"/>
    <map measureGroup="1" dimension="0"/>
    <map measureGroup="1" dimension="1"/>
  </maps>
  <extLst>
    <ext xmlns:x14="http://schemas.microsoft.com/office/spreadsheetml/2009/9/main" uri="{725AE2AE-9491-48be-B2B4-4EB974FC3084}">
      <x14:pivotCacheDefinition pivotCacheId="193845164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5FB233-7F48-4231-BE30-642E0E14E674}" name="PivotChartTable3" cacheId="9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B9"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Daily_Pay" fld="1" baseField="0" baseItem="0"/>
  </dataFields>
  <chartFormats count="3">
    <chartFormat chart="0" format="10" series="1">
      <pivotArea type="data" outline="0" fieldPosition="0">
        <references count="1">
          <reference field="4294967294" count="1" selected="0">
            <x v="0"/>
          </reference>
        </references>
      </pivotArea>
    </chartFormat>
    <chartFormat chart="6" format="11" series="1">
      <pivotArea type="data" outline="0" fieldPosition="0">
        <references count="1">
          <reference field="4294967294" count="1" selected="0">
            <x v="0"/>
          </reference>
        </references>
      </pivotArea>
    </chartFormat>
    <chartFormat chart="7" format="12" series="1">
      <pivotArea type="data" outline="0" fieldPosition="0">
        <references count="1">
          <reference field="4294967294" count="1" selected="0">
            <x v="0"/>
          </reference>
        </references>
      </pivotArea>
    </chartFormat>
  </chart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Fact_Timesheets].[Exception_Flag].&amp;[OK]"/>
      </members>
    </pivotHierarchy>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0.00);\$#,0.00"/>
      </x15:pivotTableServerFormats>
    </ext>
    <ext xmlns:x15="http://schemas.microsoft.com/office/spreadsheetml/2010/11/main" uri="{44433962-1CF7-4059-B4EE-95C3D5FFCF73}">
      <x15:pivotTableData rowCount="8" columnCount="1" cacheId="1938451643">
        <x15:pivotRow count="1">
          <x15:c>
            <x15:v>209036.92999999993</x15:v>
            <x15:x in="0"/>
          </x15:c>
        </x15:pivotRow>
        <x15:pivotRow count="1">
          <x15:c>
            <x15:v>811247.00499999989</x15:v>
            <x15:x in="0"/>
          </x15:c>
        </x15:pivotRow>
        <x15:pivotRow count="1">
          <x15:c>
            <x15:v>802010.73000000021</x15:v>
            <x15:x in="0"/>
          </x15:c>
        </x15:pivotRow>
        <x15:pivotRow count="1">
          <x15:c>
            <x15:v>1004975.3849999995</x15:v>
            <x15:x in="0"/>
          </x15:c>
        </x15:pivotRow>
        <x15:pivotRow count="1">
          <x15:c>
            <x15:v>1003942.5049999999</x15:v>
            <x15:x in="0"/>
          </x15:c>
        </x15:pivotRow>
        <x15:pivotRow count="1">
          <x15:c>
            <x15:v>804744.23000000033</x15:v>
            <x15:x in="0"/>
          </x15:c>
        </x15:pivotRow>
        <x15:pivotRow count="1">
          <x15:c>
            <x15:v>175041.11499999999</x15:v>
            <x15:x in="0"/>
          </x15:c>
        </x15:pivotRow>
        <x15:pivotRow count="1">
          <x15:c>
            <x15:v>4810997.8999999976</x15:v>
            <x15:x in="0"/>
          </x15:c>
        </x15:pivotRow>
      </x15:pivotTableData>
    </ext>
    <ext xmlns:x15="http://schemas.microsoft.com/office/spreadsheetml/2010/11/main" uri="{E67621CE-5B39-4880-91FE-76760E9C1902}">
      <x15:pivotTableUISettings>
        <x15:activeTabTopLevelEntity name="[Fact_Timesheets]"/>
        <x15:activeTabTopLevelEntity name="[Dim_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1EB082-64D4-4214-ABF2-3AFA4BB38E09}" name="PivotTable9" cacheId="9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Department">
  <location ref="Q2:R8"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Total Pay" fld="1" baseField="0" baseItem="0"/>
  </dataFields>
  <formats count="12">
    <format dxfId="27">
      <pivotArea dataOnly="0" labelOnly="1" outline="0" axis="axisValues" fieldPosition="0"/>
    </format>
    <format dxfId="28">
      <pivotArea dataOnly="0" labelOnly="1" outline="0" axis="axisValues" fieldPosition="0"/>
    </format>
    <format dxfId="29">
      <pivotArea type="all" dataOnly="0" outline="0" fieldPosition="0"/>
    </format>
    <format dxfId="30">
      <pivotArea outline="0" collapsedLevelsAreSubtotals="1" fieldPosition="0"/>
    </format>
    <format dxfId="31">
      <pivotArea field="0" type="button" dataOnly="0" labelOnly="1" outline="0" axis="axisRow" fieldPosition="0"/>
    </format>
    <format dxfId="32">
      <pivotArea dataOnly="0" labelOnly="1" fieldPosition="0">
        <references count="1">
          <reference field="0" count="0"/>
        </references>
      </pivotArea>
    </format>
    <format dxfId="33">
      <pivotArea dataOnly="0" labelOnly="1" grandRow="1" outline="0" fieldPosition="0"/>
    </format>
    <format dxfId="34">
      <pivotArea dataOnly="0" labelOnly="1" outline="0" axis="axisValues" fieldPosition="0"/>
    </format>
    <format dxfId="26">
      <pivotArea grandRow="1" outline="0" collapsedLevelsAreSubtotals="1" fieldPosition="0"/>
    </format>
    <format dxfId="25">
      <pivotArea dataOnly="0" labelOnly="1" grandRow="1" outline="0" fieldPosition="0"/>
    </format>
    <format dxfId="12">
      <pivotArea collapsedLevelsAreSubtotals="1" fieldPosition="0">
        <references count="1">
          <reference field="0" count="0"/>
        </references>
      </pivotArea>
    </format>
    <format dxfId="11">
      <pivotArea dataOnly="0" labelOnly="1" fieldPosition="0">
        <references count="1">
          <reference field="0" count="0"/>
        </references>
      </pivotArea>
    </format>
  </formats>
  <conditionalFormats count="1">
    <conditionalFormat priority="1">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Total Pa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7EAB0C7-8ED2-41CD-9748-27D90216225C}" name="PivotTable8" cacheId="9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Deparment">
  <location ref="N2:O8"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Total Hours Worked" fld="1" baseField="0" baseItem="0"/>
  </dataFields>
  <formats count="10">
    <format dxfId="35">
      <pivotArea type="all" dataOnly="0" outline="0" fieldPosition="0"/>
    </format>
    <format dxfId="36">
      <pivotArea outline="0" collapsedLevelsAreSubtotals="1" fieldPosition="0"/>
    </format>
    <format dxfId="37">
      <pivotArea field="0" type="button" dataOnly="0" labelOnly="1" outline="0" axis="axisRow" fieldPosition="0"/>
    </format>
    <format dxfId="38">
      <pivotArea dataOnly="0" labelOnly="1" fieldPosition="0">
        <references count="1">
          <reference field="0" count="0"/>
        </references>
      </pivotArea>
    </format>
    <format dxfId="39">
      <pivotArea dataOnly="0" labelOnly="1" grandRow="1" outline="0" fieldPosition="0"/>
    </format>
    <format dxfId="40">
      <pivotArea dataOnly="0" labelOnly="1" outline="0" axis="axisValues" fieldPosition="0"/>
    </format>
    <format dxfId="24">
      <pivotArea grandRow="1" outline="0" collapsedLevelsAreSubtotals="1" fieldPosition="0"/>
    </format>
    <format dxfId="23">
      <pivotArea dataOnly="0" labelOnly="1" grandRow="1" outline="0" fieldPosition="0"/>
    </format>
    <format dxfId="14">
      <pivotArea collapsedLevelsAreSubtotals="1" fieldPosition="0">
        <references count="1">
          <reference field="0" count="0"/>
        </references>
      </pivotArea>
    </format>
    <format dxfId="13">
      <pivotArea dataOnly="0" labelOnly="1" fieldPosition="0">
        <references count="1">
          <reference field="0" count="0"/>
        </references>
      </pivotArea>
    </format>
  </formats>
  <conditionalFormats count="1">
    <conditionalFormat priority="2">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Hours Worked"/>
    <pivotHierarchy dragToData="1"/>
    <pivotHierarchy dragToData="1"/>
  </pivotHierarchies>
  <pivotTableStyleInfo name="PivotStyleMedium9"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929AF2-516A-4755-9246-C75C7ADDACC1}" name="PivotTable7" cacheId="9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Department">
  <location ref="K2:L8"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Avg. Hourly Rate" fld="1" subtotal="average" baseField="0" baseItem="0" numFmtId="2"/>
  </dataFields>
  <formats count="12">
    <format dxfId="41">
      <pivotArea outline="0" collapsedLevelsAreSubtotals="1" fieldPosition="0"/>
    </format>
    <format dxfId="42">
      <pivotArea dataOnly="0" labelOnly="1" outline="0" axis="axisValues" fieldPosition="0"/>
    </format>
    <format dxfId="43">
      <pivotArea type="all" dataOnly="0" outline="0" fieldPosition="0"/>
    </format>
    <format dxfId="44">
      <pivotArea outline="0" collapsedLevelsAreSubtotals="1" fieldPosition="0"/>
    </format>
    <format dxfId="45">
      <pivotArea field="0" type="button" dataOnly="0" labelOnly="1" outline="0" axis="axisRow" fieldPosition="0"/>
    </format>
    <format dxfId="46">
      <pivotArea dataOnly="0" labelOnly="1" fieldPosition="0">
        <references count="1">
          <reference field="0" count="0"/>
        </references>
      </pivotArea>
    </format>
    <format dxfId="47">
      <pivotArea dataOnly="0" labelOnly="1" grandRow="1" outline="0" fieldPosition="0"/>
    </format>
    <format dxfId="48">
      <pivotArea dataOnly="0" labelOnly="1" outline="0" axis="axisValues" fieldPosition="0"/>
    </format>
    <format dxfId="22">
      <pivotArea grandRow="1" outline="0" collapsedLevelsAreSubtotals="1" fieldPosition="0"/>
    </format>
    <format dxfId="21">
      <pivotArea dataOnly="0" labelOnly="1" grandRow="1" outline="0" fieldPosition="0"/>
    </format>
    <format dxfId="16">
      <pivotArea collapsedLevelsAreSubtotals="1" fieldPosition="0">
        <references count="1">
          <reference field="0" count="0"/>
        </references>
      </pivotArea>
    </format>
    <format dxfId="15">
      <pivotArea dataOnly="0" labelOnly="1" fieldPosition="0">
        <references count="1">
          <reference field="0" count="0"/>
        </references>
      </pivotArea>
    </format>
  </formats>
  <conditionalFormats count="2">
    <conditionalFormat priority="4">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 priority="3">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g. Hourly Rate"/>
  </pivotHierarchies>
  <pivotTableStyleInfo name="PivotStyleMedium9"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247F39-625A-4DE1-AB74-99C68715AE75}" name="PivotTable5" cacheId="90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Department">
  <location ref="H2:I8"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Gross Hours" fld="1" baseField="0" baseItem="0"/>
  </dataFields>
  <formats count="10">
    <format dxfId="49">
      <pivotArea type="all" dataOnly="0" outline="0" fieldPosition="0"/>
    </format>
    <format dxfId="50">
      <pivotArea outline="0" collapsedLevelsAreSubtotals="1" fieldPosition="0"/>
    </format>
    <format dxfId="51">
      <pivotArea field="0" type="button" dataOnly="0" labelOnly="1" outline="0" axis="axisRow" fieldPosition="0"/>
    </format>
    <format dxfId="52">
      <pivotArea dataOnly="0" labelOnly="1" fieldPosition="0">
        <references count="1">
          <reference field="0" count="0"/>
        </references>
      </pivotArea>
    </format>
    <format dxfId="53">
      <pivotArea dataOnly="0" labelOnly="1" grandRow="1" outline="0" fieldPosition="0"/>
    </format>
    <format dxfId="54">
      <pivotArea dataOnly="0" labelOnly="1" outline="0" axis="axisValues" fieldPosition="0"/>
    </format>
    <format dxfId="20">
      <pivotArea grandRow="1" outline="0" collapsedLevelsAreSubtotals="1" fieldPosition="0"/>
    </format>
    <format dxfId="19">
      <pivotArea dataOnly="0" labelOnly="1" grandRow="1" outline="0" fieldPosition="0"/>
    </format>
    <format dxfId="18">
      <pivotArea collapsedLevelsAreSubtotals="1" fieldPosition="0">
        <references count="1">
          <reference field="0" count="0"/>
        </references>
      </pivotArea>
    </format>
    <format dxfId="17">
      <pivotArea dataOnly="0" labelOnly="1" fieldPosition="0">
        <references count="1">
          <reference field="0" count="0"/>
        </references>
      </pivotArea>
    </format>
  </formats>
  <conditionalFormats count="1">
    <conditionalFormat priority="5">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Overtime Hours"/>
    <pivotHierarchy dragToData="1"/>
    <pivotHierarchy dragToData="1"/>
    <pivotHierarchy dragToData="1"/>
    <pivotHierarchy dragToData="1"/>
    <pivotHierarchy dragToData="1"/>
    <pivotHierarchy dragToData="1"/>
    <pivotHierarchy dragToData="1" caption="Gross Hours"/>
    <pivotHierarchy dragToData="1"/>
    <pivotHierarchy dragToData="1"/>
  </pivotHierarchies>
  <pivotTableStyleInfo name="PivotStyleMedium9"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9F4A9B9-E69B-473F-9FB7-3AAD7B68E523}" name="PivotTable3" cacheId="90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Department">
  <location ref="E2:F8"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Gross OT Hours" fld="1" baseField="0" baseItem="0"/>
  </dataFields>
  <formats count="11">
    <format dxfId="0">
      <pivotArea type="all" dataOnly="0" outline="0" fieldPosition="0"/>
    </format>
    <format dxfId="1">
      <pivotArea outline="0" collapsedLevelsAreSubtotals="1" fieldPosition="0"/>
    </format>
    <format dxfId="2">
      <pivotArea field="0" type="button" dataOnly="0" labelOnly="1" outline="0" axis="axisRow" fieldPosition="0"/>
    </format>
    <format dxfId="3">
      <pivotArea dataOnly="0" labelOnly="1" fieldPosition="0">
        <references count="1">
          <reference field="0" count="0"/>
        </references>
      </pivotArea>
    </format>
    <format dxfId="4">
      <pivotArea dataOnly="0" labelOnly="1" grandRow="1" outline="0" fieldPosition="0"/>
    </format>
    <format dxfId="5">
      <pivotArea dataOnly="0" labelOnly="1" outline="0" axis="axisValues" fieldPosition="0"/>
    </format>
    <format dxfId="6">
      <pivotArea grandRow="1" outline="0" collapsedLevelsAreSubtotals="1" fieldPosition="0"/>
    </format>
    <format dxfId="7">
      <pivotArea dataOnly="0" labelOnly="1" grandRow="1" outline="0" fieldPosition="0"/>
    </format>
    <format dxfId="8">
      <pivotArea dataOnly="0" labelOnly="1" fieldPosition="0">
        <references count="1">
          <reference field="0" count="0"/>
        </references>
      </pivotArea>
    </format>
    <format dxfId="9">
      <pivotArea collapsedLevelsAreSubtotals="1" fieldPosition="0">
        <references count="1">
          <reference field="0" count="0"/>
        </references>
      </pivotArea>
    </format>
    <format dxfId="10">
      <pivotArea dataOnly="0" labelOnly="1" fieldPosition="0">
        <references count="1">
          <reference field="0" count="0"/>
        </references>
      </pivotArea>
    </format>
  </formats>
  <conditionalFormats count="1">
    <conditionalFormat priority="6">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Gross OT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5099EA1-3EE6-434C-918B-3FE7591FB7D9}" name="PivotTable2" cacheId="883" applyNumberFormats="0" applyBorderFormats="0" applyFontFormats="0" applyPatternFormats="0" applyAlignmentFormats="0" applyWidthHeightFormats="1" dataCaption="Values" tag="0a8f8050-e1f1-44c5-bf08-055825ea5391" updatedVersion="8" minRefreshableVersion="3" useAutoFormatting="1" subtotalHiddenItems="1" itemPrintTitles="1" createdVersion="8" indent="0" outline="1" outlineData="1" multipleFieldFilters="0" rowHeaderCaption="Employee Names">
  <location ref="B2:C63" firstHeaderRow="1" firstDataRow="1" firstDataCol="1"/>
  <pivotFields count="5">
    <pivotField axis="axisRow" allDrilled="1" subtotalTop="0" showAll="0" dataSourceSort="1" defaultSubtotal="0">
      <items count="6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s>
    </pivotField>
    <pivotField dataField="1" subtotalTop="0" showAll="0" defaultSubtotal="0"/>
    <pivotField axis="axisRow" allDrilled="1" subtotalTop="0" showAll="0" dataSourceSort="1" defaultSubtotal="0" defaultAttributeDrillState="1">
      <items count="25">
        <item x="0"/>
        <item x="1"/>
        <item x="2"/>
        <item x="3"/>
        <item x="4"/>
        <item x="5"/>
        <item x="6"/>
        <item x="7"/>
        <item x="8"/>
        <item x="9"/>
        <item x="10"/>
        <item x="11"/>
        <item x="12"/>
        <item x="13"/>
        <item x="14"/>
        <item x="15"/>
        <item x="16"/>
        <item x="17"/>
        <item x="18"/>
        <item x="19"/>
        <item x="20"/>
        <item x="21"/>
        <item x="22"/>
        <item x="23"/>
        <item x="24"/>
      </items>
    </pivotField>
    <pivotField axis="axisRow" allDrilled="1" subtotalTop="0" showAll="0" dataSourceSort="1" defaultSubtotal="0">
      <items count="2">
        <item x="0" e="0"/>
        <item x="1" e="0"/>
      </items>
    </pivotField>
    <pivotField allDrilled="1" subtotalTop="0" showAll="0" dataSourceSort="1" defaultSubtotal="0" defaultAttributeDrillState="1"/>
  </pivotFields>
  <rowFields count="3">
    <field x="0"/>
    <field x="3"/>
    <field x="2"/>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Items count="1">
    <i/>
  </colItems>
  <dataFields count="1">
    <dataField name="Total Pay" fld="1" baseField="0" baseItem="0"/>
  </dataFields>
  <formats count="16">
    <format dxfId="70">
      <pivotArea field="0" type="button" dataOnly="0" labelOnly="1" outline="0" axis="axisRow" fieldPosition="0"/>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field="0" type="button" dataOnly="0" labelOnly="1" outline="0" axis="axisRow" fieldPosition="0"/>
    </format>
    <format dxfId="65">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4">
      <pivotArea dataOnly="0" labelOnly="1" fieldPosition="0">
        <references count="1">
          <reference field="0" count="10">
            <x v="50"/>
            <x v="51"/>
            <x v="52"/>
            <x v="53"/>
            <x v="54"/>
            <x v="55"/>
            <x v="56"/>
            <x v="57"/>
            <x v="58"/>
            <x v="59"/>
          </reference>
        </references>
      </pivotArea>
    </format>
    <format dxfId="63">
      <pivotArea dataOnly="0" labelOnly="1" grandRow="1" outline="0"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field="0" type="button" dataOnly="0" labelOnly="1" outline="0" axis="axisRow" fieldPosition="0"/>
    </format>
    <format dxfId="58">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7">
      <pivotArea dataOnly="0" labelOnly="1" fieldPosition="0">
        <references count="1">
          <reference field="0" count="10">
            <x v="50"/>
            <x v="51"/>
            <x v="52"/>
            <x v="53"/>
            <x v="54"/>
            <x v="55"/>
            <x v="56"/>
            <x v="57"/>
            <x v="58"/>
            <x v="59"/>
          </reference>
        </references>
      </pivotArea>
    </format>
    <format dxfId="56">
      <pivotArea dataOnly="0" labelOnly="1" grandRow="1" outline="0" fieldPosition="0"/>
    </format>
    <format dxfId="55">
      <pivotArea dataOnly="0" labelOnly="1" outline="0" axis="axisValues" fieldPosition="0"/>
    </format>
  </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Total Pa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9" showRowHeaders="1" showColHeaders="1" showRowStripes="0" showColStripes="0" showLastColumn="1"/>
  <rowHierarchiesUsage count="3">
    <rowHierarchyUsage hierarchyUsage="1"/>
    <rowHierarchyUsage hierarchyUsage="14"/>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51C0C19-BF66-4192-8DCF-A4F08E19D7B4}" name="PivotTable15" cacheId="898" applyNumberFormats="0" applyBorderFormats="0" applyFontFormats="0" applyPatternFormats="0" applyAlignmentFormats="0" applyWidthHeightFormats="1" dataCaption="Values" tag="69804d1e-6e40-4c0b-9895-2ebe9dba1e91" updatedVersion="8" minRefreshableVersion="3" itemPrintTitles="1" createdVersion="8" indent="0" outline="1" outlineData="1" multipleFieldFilters="0">
  <location ref="A28:A2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Hours_Worked" fld="0" baseField="0" baseItem="0"/>
  </dataField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84402ED-A784-4CE6-B88C-0D77E849F53A}" name="PivotTable14" cacheId="892" applyNumberFormats="0" applyBorderFormats="0" applyFontFormats="0" applyPatternFormats="0" applyAlignmentFormats="0" applyWidthHeightFormats="1" dataCaption="Values" tag="915c5607-f7e9-493d-8a68-34c40c30676e" updatedVersion="8" minRefreshableVersion="3" itemPrintTitles="1" createdVersion="8" indent="0" outline="1" outlineData="1" multipleFieldFilters="0">
  <location ref="A25:A2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Daily_Pay" fld="0" subtotal="average" baseField="0" baseItem="0"/>
  </dataField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Daily_Pay"/>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AE748B-3BDB-4D36-99C8-C18CD23A5844}" name="PivotTable13" cacheId="889" applyNumberFormats="0" applyBorderFormats="0" applyFontFormats="0" applyPatternFormats="0" applyAlignmentFormats="0" applyWidthHeightFormats="1" dataCaption="Values" tag="4d94aa1f-1265-49f6-86e4-77c6d6a92096" updatedVersion="8" minRefreshableVersion="3" useAutoFormatting="1" itemPrintTitles="1" createdVersion="8" indent="0" outline="1" outlineData="1" multipleFieldFilters="0">
  <location ref="A35:A96" firstHeaderRow="1" firstDataRow="1" firstDataCol="1" rowPageCount="1" colPageCount="1"/>
  <pivotFields count="4">
    <pivotField axis="axisRow" allDrilled="1" subtotalTop="0" showAll="0" dataSourceSort="1" defaultSubtotal="0">
      <items count="60">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s>
    </pivotField>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axis="axisPage" allDrilled="1" subtotalTop="0" showAll="0" dataSourceSort="1" defaultSubtotal="0" defaultAttributeDrillState="1"/>
    <pivotField allDrilled="1" subtotalTop="0" showAll="0" dataSourceSort="1" defaultSubtotal="0" defaultAttributeDrillState="1"/>
  </pivotFields>
  <rowFields count="2">
    <field x="0"/>
    <field x="1"/>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pageFields count="1">
    <pageField fld="2" hier="16" name="[Fact_Timesheets].[Exception_Flag].&amp;[Missing Punch]" cap="Missing Punch"/>
  </pageField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22BA9D-2BEB-4F62-B4EC-7C6F5DA43BEB}" name="PivotTable3" cacheId="895" applyNumberFormats="0" applyBorderFormats="0" applyFontFormats="0" applyPatternFormats="0" applyAlignmentFormats="0" applyWidthHeightFormats="1" dataCaption="Values" tag="c62f22d7-1fb8-4394-96ca-6fcc51e4b88a" updatedVersion="8" minRefreshableVersion="3" useAutoFormatting="1" itemPrintTitles="1" createdVersion="8" indent="0" outline="1" outlineData="1" multipleFieldFilters="0">
  <location ref="A22:A2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Gross Overtime Hours" fld="0" baseField="0" baseItem="0"/>
  </dataField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Gross Overtime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F059198-891F-484D-BC76-EF26FC17DA4D}" name="PivotTable1" cacheId="886" applyNumberFormats="0" applyBorderFormats="0" applyFontFormats="0" applyPatternFormats="0" applyAlignmentFormats="0" applyWidthHeightFormats="1" dataCaption="Values" tag="5fce6db3-ae59-4c44-a9d4-10c3201ae2e1" updatedVersion="8" minRefreshableVersion="3" useAutoFormatting="1" itemPrintTitles="1" createdVersion="8" indent="0" outline="1" outlineData="1" multipleFieldFilters="0">
  <location ref="A19:A2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Gross Pay" fld="0" baseField="0" baseItem="0"/>
  </dataField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Total Gross Pa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B40BEE4-E812-4399-BD29-D7400D9BF971}" name="PivotTable4" cacheId="880" applyNumberFormats="0" applyBorderFormats="0" applyFontFormats="0" applyPatternFormats="0" applyAlignmentFormats="0" applyWidthHeightFormats="1" dataCaption="Values" tag="db902f3f-1621-4db3-8e67-1fd130b70e59" updatedVersion="8" minRefreshableVersion="3" useAutoFormatting="1" subtotalHiddenItems="1" itemPrintTitles="1" createdVersion="8" indent="0" outline="1" outlineData="1" multipleFieldFilters="0" chartFormat="7" rowHeaderCaption="Department">
  <location ref="A3:B9"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Overtime Hours" fld="1" baseField="0" baseItem="0"/>
  </dataFields>
  <chartFormats count="1">
    <chartFormat chart="4" format="2" series="1">
      <pivotArea type="data" outline="0" fieldPosition="0">
        <references count="1">
          <reference field="4294967294" count="1" selected="0">
            <x v="0"/>
          </reference>
        </references>
      </pivotArea>
    </chartFormat>
  </chartFormats>
  <pivotHierarchies count="3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Overtime Hours"/>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Employee]"/>
        <x15:activeTabTopLevelEntity name="[Fact_Timeshee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9982D24-CC03-4160-83F2-D5DE4A6F47D2}" sourceName="[Dim_Employee].[Department]">
  <pivotTables>
    <pivotTable tabId="3" name="PivotTable4"/>
    <pivotTable tabId="2" name="PivotTable2"/>
    <pivotTable tabId="3" name="PivotTable1"/>
    <pivotTable tabId="3" name="PivotTable13"/>
    <pivotTable tabId="3" name="PivotTable14"/>
    <pivotTable tabId="3" name="PivotTable3"/>
    <pivotTable tabId="3" name="PivotTable15"/>
    <pivotTable tabId="2" name="PivotTable3"/>
    <pivotTable tabId="2" name="PivotTable5"/>
    <pivotTable tabId="2" name="PivotTable7"/>
    <pivotTable tabId="2" name="PivotTable8"/>
    <pivotTable tabId="2" name="PivotTable9"/>
  </pivotTables>
  <data>
    <olap pivotCacheId="300771647">
      <levels count="2">
        <level uniqueName="[Dim_Employee].[Department].[(All)]" sourceCaption="(All)" count="0"/>
        <level uniqueName="[Dim_Employee].[Department].[Department]" sourceCaption="Department" count="5">
          <ranges>
            <range startItem="0">
              <i n="[Dim_Employee].[Department].&amp;[Logistics]" c="Logistics"/>
              <i n="[Dim_Employee].[Department].&amp;[Management]" c="Management"/>
              <i n="[Dim_Employee].[Department].&amp;[Operations]" c="Operations"/>
              <i n="[Dim_Employee].[Department].&amp;[Sales]" c="Sales"/>
              <i n="[Dim_Employee].[Department].&amp;[Support]" c="Support"/>
            </range>
          </ranges>
        </level>
      </levels>
      <selections count="1">
        <selection n="[Dim_Employee].[Department].[All]"/>
      </selections>
    </olap>
  </data>
  <extLst>
    <x:ext xmlns:x15="http://schemas.microsoft.com/office/spreadsheetml/2010/11/main" uri="{03082B11-2C62-411c-B77F-237D8FCFBE4C}">
      <x15:slicerCachePivotTables>
        <pivotTable tabId="4294967295" name="PivotChartTable3"/>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D001739A-5953-4D88-B67B-5A997EBB265B}" sourceName="[Fact_Timesheets].[Day_Name]">
  <pivotTables>
    <pivotTable tabId="3" name="PivotTable4"/>
    <pivotTable tabId="2" name="PivotTable2"/>
    <pivotTable tabId="3" name="PivotTable1"/>
    <pivotTable tabId="3" name="PivotTable13"/>
    <pivotTable tabId="3" name="PivotTable14"/>
    <pivotTable tabId="3" name="PivotTable3"/>
    <pivotTable tabId="3" name="PivotTable15"/>
    <pivotTable tabId="2" name="PivotTable3"/>
    <pivotTable tabId="2" name="PivotTable5"/>
    <pivotTable tabId="2" name="PivotTable7"/>
    <pivotTable tabId="2" name="PivotTable8"/>
    <pivotTable tabId="2" name="PivotTable9"/>
  </pivotTables>
  <data>
    <olap pivotCacheId="300771647">
      <levels count="2">
        <level uniqueName="[Fact_Timesheets].[Day_Name].[(All)]" sourceCaption="(All)" count="0"/>
        <level uniqueName="[Fact_Timesheets].[Day_Name].[Day_Name]" sourceCaption="Day_Name" count="7" crossFilter="none">
          <ranges>
            <range startItem="0">
              <i n="[Fact_Timesheets].[Day_Name].&amp;[Sun]" c="Sun"/>
              <i n="[Fact_Timesheets].[Day_Name].&amp;[Mon]" c="Mon"/>
              <i n="[Fact_Timesheets].[Day_Name].&amp;[Tue]" c="Tue"/>
              <i n="[Fact_Timesheets].[Day_Name].&amp;[Wed]" c="Wed"/>
              <i n="[Fact_Timesheets].[Day_Name].&amp;[Thu]" c="Thu"/>
              <i n="[Fact_Timesheets].[Day_Name].&amp;[Fri]" c="Fri"/>
              <i n="[Fact_Timesheets].[Day_Name].&amp;[Sat]" c="Sat"/>
            </range>
          </ranges>
        </level>
      </levels>
      <selections count="1">
        <selection n="[Fact_Timesheets].[Day_Name].[All]"/>
      </selections>
    </olap>
  </data>
  <extLst>
    <x:ext xmlns:x15="http://schemas.microsoft.com/office/spreadsheetml/2010/11/main" uri="{03082B11-2C62-411c-B77F-237D8FCFBE4C}">
      <x15:slicerCachePivotTables>
        <pivotTable tabId="4294967295" name="PivotChartTable3"/>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35C07392-459A-4A28-A92D-5124D816D0C1}" cache="Slicer_Department" caption="Department" columnCount="5" level="1" rowHeight="257175"/>
  <slicer name="Day_Name" xr10:uid="{0BBFB80D-2683-433F-A57F-048880F2468C}" cache="Slicer_Day_Name" caption="Weekday" columnCount="7" level="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printerSettings" Target="../printerSettings/printerSettings1.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C103D-4353-4409-884C-70A07486B932}">
  <sheetPr codeName="Sheet1">
    <tabColor theme="4"/>
  </sheetPr>
  <dimension ref="B2:S33"/>
  <sheetViews>
    <sheetView showGridLines="0" showRowColHeaders="0" tabSelected="1" zoomScale="130" zoomScaleNormal="130" workbookViewId="0">
      <selection activeCell="U12" sqref="U12"/>
      <extLst>
        <ext xmlns:xlsdti="http://schemas.microsoft.com/office/spreadsheetml/2023/showDataTypeIcons" uri="{77bfe23e-c014-4d31-8a63-9c772dbf06b6}">
          <xlsdti:showDataTypeIcons visible="0"/>
        </ext>
      </extLst>
    </sheetView>
  </sheetViews>
  <sheetFormatPr defaultColWidth="9.140625" defaultRowHeight="15" x14ac:dyDescent="0.25"/>
  <cols>
    <col min="1" max="1" width="3.28515625" customWidth="1"/>
    <col min="2" max="2" width="20.5703125" bestFit="1" customWidth="1"/>
    <col min="3" max="3" width="14.85546875" customWidth="1"/>
    <col min="4" max="18" width="9.140625" customWidth="1"/>
    <col min="19" max="19" width="2.85546875" customWidth="1"/>
    <col min="20" max="20" width="9.140625" customWidth="1"/>
  </cols>
  <sheetData>
    <row r="2" spans="2:19" x14ac:dyDescent="0.25">
      <c r="B2" s="9"/>
      <c r="C2" s="10"/>
      <c r="D2" s="10"/>
      <c r="E2" s="10"/>
      <c r="F2" s="10"/>
      <c r="G2" s="10"/>
      <c r="H2" s="10"/>
      <c r="I2" s="10"/>
      <c r="J2" s="10"/>
      <c r="K2" s="10"/>
      <c r="L2" s="10"/>
      <c r="M2" s="10"/>
      <c r="N2" s="10"/>
      <c r="O2" s="10"/>
      <c r="P2" s="10"/>
      <c r="Q2" s="10"/>
      <c r="R2" s="10"/>
      <c r="S2" s="11"/>
    </row>
    <row r="3" spans="2:19" x14ac:dyDescent="0.25">
      <c r="B3" s="12"/>
      <c r="C3" s="13"/>
      <c r="D3" s="13"/>
      <c r="E3" s="13"/>
      <c r="F3" s="13"/>
      <c r="G3" s="13"/>
      <c r="H3" s="13"/>
      <c r="I3" s="13"/>
      <c r="J3" s="13"/>
      <c r="K3" s="13"/>
      <c r="L3" s="13"/>
      <c r="M3" s="13"/>
      <c r="N3" s="13"/>
      <c r="O3" s="13"/>
      <c r="P3" s="13"/>
      <c r="Q3" s="13"/>
      <c r="R3" s="13"/>
      <c r="S3" s="14"/>
    </row>
    <row r="4" spans="2:19" x14ac:dyDescent="0.25">
      <c r="B4" s="12"/>
      <c r="C4" s="13"/>
      <c r="D4" s="13"/>
      <c r="E4" s="13"/>
      <c r="F4" s="13"/>
      <c r="G4" s="13"/>
      <c r="H4" s="13"/>
      <c r="I4" s="13"/>
      <c r="J4" s="13"/>
      <c r="K4" s="13"/>
      <c r="L4" s="13"/>
      <c r="M4" s="13"/>
      <c r="N4" s="13"/>
      <c r="O4" s="13"/>
      <c r="P4" s="13"/>
      <c r="Q4" s="13"/>
      <c r="R4" s="13"/>
      <c r="S4" s="14"/>
    </row>
    <row r="5" spans="2:19" x14ac:dyDescent="0.25">
      <c r="B5" s="12"/>
      <c r="C5" s="13"/>
      <c r="D5" s="13"/>
      <c r="E5" s="13"/>
      <c r="F5" s="13"/>
      <c r="G5" s="13"/>
      <c r="H5" s="13"/>
      <c r="I5" s="13"/>
      <c r="J5" s="13"/>
      <c r="K5" s="13"/>
      <c r="L5" s="13"/>
      <c r="M5" s="13"/>
      <c r="N5" s="13"/>
      <c r="O5" s="13"/>
      <c r="P5" s="13"/>
      <c r="Q5" s="13"/>
      <c r="R5" s="13"/>
      <c r="S5" s="14"/>
    </row>
    <row r="6" spans="2:19" x14ac:dyDescent="0.25">
      <c r="B6" s="12"/>
      <c r="C6" s="13"/>
      <c r="D6" s="13"/>
      <c r="E6" s="13"/>
      <c r="F6" s="13"/>
      <c r="G6" s="13"/>
      <c r="H6" s="13"/>
      <c r="I6" s="13"/>
      <c r="J6" s="13"/>
      <c r="K6" s="13"/>
      <c r="L6" s="13"/>
      <c r="M6" s="13"/>
      <c r="N6" s="13"/>
      <c r="O6" s="13"/>
      <c r="P6" s="13"/>
      <c r="Q6" s="13"/>
      <c r="R6" s="13"/>
      <c r="S6" s="14"/>
    </row>
    <row r="7" spans="2:19" x14ac:dyDescent="0.25">
      <c r="B7" s="12"/>
      <c r="C7" s="13"/>
      <c r="D7" s="13"/>
      <c r="E7" s="13"/>
      <c r="F7" s="13"/>
      <c r="G7" s="13"/>
      <c r="H7" s="13"/>
      <c r="I7" s="13"/>
      <c r="J7" s="13"/>
      <c r="K7" s="13"/>
      <c r="L7" s="13"/>
      <c r="M7" s="13"/>
      <c r="N7" s="13"/>
      <c r="O7" s="13"/>
      <c r="P7" s="13"/>
      <c r="Q7" s="13"/>
      <c r="R7" s="13"/>
      <c r="S7" s="14"/>
    </row>
    <row r="8" spans="2:19" x14ac:dyDescent="0.25">
      <c r="B8" s="12"/>
      <c r="C8" s="13"/>
      <c r="D8" s="13"/>
      <c r="E8" s="13"/>
      <c r="F8" s="13"/>
      <c r="G8" s="13"/>
      <c r="H8" s="13"/>
      <c r="I8" s="13"/>
      <c r="J8" s="13"/>
      <c r="K8" s="13"/>
      <c r="L8" s="13"/>
      <c r="M8" s="13"/>
      <c r="N8" s="13"/>
      <c r="O8" s="13"/>
      <c r="P8" s="13"/>
      <c r="Q8" s="13"/>
      <c r="R8" s="13"/>
      <c r="S8" s="14"/>
    </row>
    <row r="9" spans="2:19" x14ac:dyDescent="0.25">
      <c r="B9" s="12"/>
      <c r="C9" s="13"/>
      <c r="D9" s="13"/>
      <c r="E9" s="13"/>
      <c r="F9" s="13"/>
      <c r="G9" s="13"/>
      <c r="H9" s="13"/>
      <c r="I9" s="13"/>
      <c r="J9" s="13"/>
      <c r="K9" s="13"/>
      <c r="L9" s="13"/>
      <c r="M9" s="13"/>
      <c r="N9" s="13"/>
      <c r="O9" s="13"/>
      <c r="P9" s="13"/>
      <c r="Q9" s="13"/>
      <c r="R9" s="13"/>
      <c r="S9" s="14"/>
    </row>
    <row r="10" spans="2:19" x14ac:dyDescent="0.25">
      <c r="B10" s="12"/>
      <c r="C10" s="13"/>
      <c r="D10" s="13"/>
      <c r="E10" s="13"/>
      <c r="F10" s="13"/>
      <c r="G10" s="13"/>
      <c r="H10" s="13"/>
      <c r="I10" s="13"/>
      <c r="J10" s="13"/>
      <c r="K10" s="13"/>
      <c r="L10" s="13"/>
      <c r="M10" s="13"/>
      <c r="N10" s="13"/>
      <c r="O10" s="13"/>
      <c r="P10" s="13"/>
      <c r="Q10" s="13"/>
      <c r="R10" s="13"/>
      <c r="S10" s="14"/>
    </row>
    <row r="11" spans="2:19" x14ac:dyDescent="0.25">
      <c r="B11" s="12"/>
      <c r="C11" s="13"/>
      <c r="D11" s="13"/>
      <c r="E11" s="13"/>
      <c r="F11" s="13"/>
      <c r="G11" s="13"/>
      <c r="H11" s="13"/>
      <c r="I11" s="13"/>
      <c r="J11" s="13"/>
      <c r="K11" s="13"/>
      <c r="L11" s="13"/>
      <c r="M11" s="13"/>
      <c r="N11" s="13"/>
      <c r="O11" s="13"/>
      <c r="P11" s="13"/>
      <c r="Q11" s="13"/>
      <c r="R11" s="13"/>
      <c r="S11" s="14"/>
    </row>
    <row r="12" spans="2:19" x14ac:dyDescent="0.25">
      <c r="B12" s="12"/>
      <c r="C12" s="13"/>
      <c r="D12" s="13"/>
      <c r="E12" s="13"/>
      <c r="F12" s="13"/>
      <c r="G12" s="13"/>
      <c r="H12" s="13"/>
      <c r="I12" s="13"/>
      <c r="J12" s="13"/>
      <c r="K12" s="13"/>
      <c r="L12" s="13"/>
      <c r="M12" s="13"/>
      <c r="N12" s="13"/>
      <c r="O12" s="13"/>
      <c r="P12" s="13"/>
      <c r="Q12" s="13"/>
      <c r="R12" s="13"/>
      <c r="S12" s="14"/>
    </row>
    <row r="13" spans="2:19" x14ac:dyDescent="0.25">
      <c r="B13" s="12"/>
      <c r="C13" s="13"/>
      <c r="D13" s="13"/>
      <c r="E13" s="13"/>
      <c r="F13" s="13"/>
      <c r="G13" s="13"/>
      <c r="H13" s="13"/>
      <c r="I13" s="13"/>
      <c r="J13" s="13"/>
      <c r="K13" s="13"/>
      <c r="L13" s="13"/>
      <c r="M13" s="13"/>
      <c r="N13" s="13"/>
      <c r="O13" s="13"/>
      <c r="P13" s="13"/>
      <c r="Q13" s="13"/>
      <c r="R13" s="13"/>
      <c r="S13" s="14"/>
    </row>
    <row r="14" spans="2:19" x14ac:dyDescent="0.25">
      <c r="B14" s="12"/>
      <c r="C14" s="13"/>
      <c r="D14" s="13"/>
      <c r="E14" s="13"/>
      <c r="F14" s="13"/>
      <c r="G14" s="13"/>
      <c r="H14" s="13"/>
      <c r="I14" s="13"/>
      <c r="J14" s="13"/>
      <c r="K14" s="13"/>
      <c r="L14" s="13"/>
      <c r="M14" s="13"/>
      <c r="N14" s="13"/>
      <c r="O14" s="13"/>
      <c r="P14" s="13"/>
      <c r="Q14" s="13"/>
      <c r="R14" s="13"/>
      <c r="S14" s="14"/>
    </row>
    <row r="15" spans="2:19" x14ac:dyDescent="0.25">
      <c r="B15" s="12"/>
      <c r="C15" s="13"/>
      <c r="D15" s="13"/>
      <c r="E15" s="13"/>
      <c r="F15" s="13"/>
      <c r="G15" s="13"/>
      <c r="H15" s="13"/>
      <c r="I15" s="13"/>
      <c r="J15" s="13"/>
      <c r="K15" s="13"/>
      <c r="L15" s="13"/>
      <c r="M15" s="13"/>
      <c r="N15" s="13"/>
      <c r="O15" s="13"/>
      <c r="P15" s="13"/>
      <c r="Q15" s="13"/>
      <c r="R15" s="13"/>
      <c r="S15" s="14"/>
    </row>
    <row r="16" spans="2:19" x14ac:dyDescent="0.25">
      <c r="B16" s="12"/>
      <c r="C16" s="13"/>
      <c r="D16" s="13"/>
      <c r="E16" s="13"/>
      <c r="F16" s="13"/>
      <c r="G16" s="13"/>
      <c r="H16" s="13"/>
      <c r="I16" s="13"/>
      <c r="J16" s="13"/>
      <c r="K16" s="13"/>
      <c r="L16" s="13"/>
      <c r="M16" s="13"/>
      <c r="N16" s="13"/>
      <c r="O16" s="13"/>
      <c r="P16" s="13"/>
      <c r="Q16" s="13"/>
      <c r="R16" s="13"/>
      <c r="S16" s="14"/>
    </row>
    <row r="17" spans="2:19" x14ac:dyDescent="0.25">
      <c r="B17" s="12"/>
      <c r="C17" s="13"/>
      <c r="D17" s="13"/>
      <c r="E17" s="13"/>
      <c r="F17" s="13"/>
      <c r="G17" s="13"/>
      <c r="H17" s="13"/>
      <c r="I17" s="13"/>
      <c r="J17" s="13"/>
      <c r="K17" s="13"/>
      <c r="L17" s="13"/>
      <c r="M17" s="13"/>
      <c r="N17" s="13"/>
      <c r="O17" s="13"/>
      <c r="P17" s="13"/>
      <c r="Q17" s="13"/>
      <c r="R17" s="13"/>
      <c r="S17" s="14"/>
    </row>
    <row r="18" spans="2:19" x14ac:dyDescent="0.25">
      <c r="B18" s="12"/>
      <c r="C18" s="13"/>
      <c r="D18" s="13"/>
      <c r="E18" s="13"/>
      <c r="F18" s="13"/>
      <c r="G18" s="13"/>
      <c r="H18" s="13"/>
      <c r="I18" s="13"/>
      <c r="J18" s="13"/>
      <c r="K18" s="13"/>
      <c r="L18" s="13"/>
      <c r="M18" s="13"/>
      <c r="N18" s="13"/>
      <c r="O18" s="13"/>
      <c r="P18" s="13"/>
      <c r="Q18" s="13"/>
      <c r="R18" s="13"/>
      <c r="S18" s="14"/>
    </row>
    <row r="19" spans="2:19" x14ac:dyDescent="0.25">
      <c r="B19" s="12"/>
      <c r="C19" s="13"/>
      <c r="D19" s="13"/>
      <c r="E19" s="13"/>
      <c r="F19" s="13"/>
      <c r="G19" s="13"/>
      <c r="H19" s="13"/>
      <c r="I19" s="13"/>
      <c r="J19" s="13"/>
      <c r="K19" s="13"/>
      <c r="L19" s="13"/>
      <c r="M19" s="13"/>
      <c r="N19" s="13"/>
      <c r="O19" s="13"/>
      <c r="P19" s="13"/>
      <c r="Q19" s="13"/>
      <c r="R19" s="13"/>
      <c r="S19" s="14"/>
    </row>
    <row r="20" spans="2:19" x14ac:dyDescent="0.25">
      <c r="B20" s="12"/>
      <c r="C20" s="13"/>
      <c r="D20" s="13"/>
      <c r="E20" s="13"/>
      <c r="F20" s="13"/>
      <c r="G20" s="13"/>
      <c r="H20" s="13"/>
      <c r="I20" s="13"/>
      <c r="J20" s="13"/>
      <c r="K20" s="13"/>
      <c r="L20" s="13"/>
      <c r="M20" s="13"/>
      <c r="N20" s="13"/>
      <c r="O20" s="13"/>
      <c r="P20" s="13"/>
      <c r="Q20" s="13"/>
      <c r="R20" s="13"/>
      <c r="S20" s="14"/>
    </row>
    <row r="21" spans="2:19" x14ac:dyDescent="0.25">
      <c r="B21" s="12"/>
      <c r="C21" s="13"/>
      <c r="D21" s="13"/>
      <c r="E21" s="13"/>
      <c r="F21" s="13"/>
      <c r="G21" s="13"/>
      <c r="H21" s="13"/>
      <c r="I21" s="13"/>
      <c r="J21" s="13"/>
      <c r="K21" s="13"/>
      <c r="L21" s="13"/>
      <c r="M21" s="13"/>
      <c r="N21" s="13"/>
      <c r="O21" s="13"/>
      <c r="P21" s="13"/>
      <c r="Q21" s="13"/>
      <c r="R21" s="13"/>
      <c r="S21" s="14"/>
    </row>
    <row r="22" spans="2:19" x14ac:dyDescent="0.25">
      <c r="B22" s="12"/>
      <c r="C22" s="13"/>
      <c r="D22" s="13"/>
      <c r="E22" s="13"/>
      <c r="F22" s="13"/>
      <c r="G22" s="13"/>
      <c r="H22" s="13"/>
      <c r="I22" s="13"/>
      <c r="J22" s="13"/>
      <c r="K22" s="13"/>
      <c r="L22" s="13"/>
      <c r="M22" s="13"/>
      <c r="N22" s="13"/>
      <c r="O22" s="13"/>
      <c r="P22" s="13"/>
      <c r="Q22" s="13"/>
      <c r="R22" s="13"/>
      <c r="S22" s="14"/>
    </row>
    <row r="23" spans="2:19" x14ac:dyDescent="0.25">
      <c r="B23" s="12"/>
      <c r="C23" s="13"/>
      <c r="D23" s="13"/>
      <c r="E23" s="13"/>
      <c r="F23" s="13"/>
      <c r="G23" s="13"/>
      <c r="H23" s="13"/>
      <c r="I23" s="13"/>
      <c r="J23" s="13"/>
      <c r="K23" s="13"/>
      <c r="L23" s="13"/>
      <c r="M23" s="13"/>
      <c r="N23" s="13"/>
      <c r="O23" s="13"/>
      <c r="P23" s="13"/>
      <c r="Q23" s="13"/>
      <c r="R23" s="13"/>
      <c r="S23" s="14"/>
    </row>
    <row r="24" spans="2:19" x14ac:dyDescent="0.25">
      <c r="B24" s="12"/>
      <c r="C24" s="13"/>
      <c r="D24" s="13"/>
      <c r="E24" s="13"/>
      <c r="F24" s="13"/>
      <c r="G24" s="13"/>
      <c r="H24" s="13"/>
      <c r="I24" s="13"/>
      <c r="J24" s="13"/>
      <c r="K24" s="13"/>
      <c r="L24" s="13"/>
      <c r="M24" s="13"/>
      <c r="N24" s="13"/>
      <c r="O24" s="13"/>
      <c r="P24" s="13"/>
      <c r="Q24" s="13"/>
      <c r="R24" s="13"/>
      <c r="S24" s="14"/>
    </row>
    <row r="25" spans="2:19" x14ac:dyDescent="0.25">
      <c r="B25" s="12"/>
      <c r="C25" s="13"/>
      <c r="D25" s="13"/>
      <c r="E25" s="13"/>
      <c r="F25" s="13"/>
      <c r="G25" s="13"/>
      <c r="H25" s="13"/>
      <c r="I25" s="13"/>
      <c r="J25" s="13"/>
      <c r="K25" s="13"/>
      <c r="L25" s="13"/>
      <c r="M25" s="13"/>
      <c r="N25" s="13"/>
      <c r="O25" s="13"/>
      <c r="P25" s="13"/>
      <c r="Q25" s="13"/>
      <c r="R25" s="13"/>
      <c r="S25" s="14"/>
    </row>
    <row r="26" spans="2:19" x14ac:dyDescent="0.25">
      <c r="B26" s="12"/>
      <c r="C26" s="13"/>
      <c r="D26" s="13"/>
      <c r="E26" s="13"/>
      <c r="F26" s="13"/>
      <c r="G26" s="13"/>
      <c r="H26" s="13"/>
      <c r="I26" s="13"/>
      <c r="J26" s="13"/>
      <c r="K26" s="13"/>
      <c r="L26" s="13"/>
      <c r="M26" s="13"/>
      <c r="N26" s="13"/>
      <c r="O26" s="13"/>
      <c r="P26" s="13"/>
      <c r="Q26" s="13"/>
      <c r="R26" s="13"/>
      <c r="S26" s="14"/>
    </row>
    <row r="27" spans="2:19" x14ac:dyDescent="0.25">
      <c r="B27" s="12"/>
      <c r="C27" s="27"/>
      <c r="D27" s="27"/>
      <c r="E27" s="27"/>
      <c r="F27" s="27"/>
      <c r="G27" s="27"/>
      <c r="H27" s="27"/>
      <c r="I27" s="27"/>
      <c r="J27" s="27"/>
      <c r="K27" s="27"/>
      <c r="L27" s="27"/>
      <c r="M27" s="27"/>
      <c r="N27" s="27"/>
      <c r="O27" s="27"/>
      <c r="P27" s="27"/>
      <c r="Q27" s="27"/>
      <c r="R27" s="27"/>
      <c r="S27" s="14"/>
    </row>
    <row r="28" spans="2:19" x14ac:dyDescent="0.25">
      <c r="B28" s="12"/>
      <c r="C28" s="27"/>
      <c r="D28" s="27"/>
      <c r="E28" s="27"/>
      <c r="F28" s="27"/>
      <c r="G28" s="27"/>
      <c r="H28" s="27"/>
      <c r="I28" s="27"/>
      <c r="J28" s="27"/>
      <c r="K28" s="27"/>
      <c r="L28" s="27"/>
      <c r="M28" s="27"/>
      <c r="N28" s="27"/>
      <c r="O28" s="27"/>
      <c r="P28" s="27"/>
      <c r="Q28" s="27"/>
      <c r="R28" s="27"/>
      <c r="S28" s="14"/>
    </row>
    <row r="29" spans="2:19" x14ac:dyDescent="0.25">
      <c r="B29" s="32"/>
      <c r="C29" s="33"/>
      <c r="D29" s="27"/>
      <c r="E29" s="27"/>
      <c r="F29" s="27"/>
      <c r="G29" s="27"/>
      <c r="H29" s="27"/>
      <c r="I29" s="27"/>
      <c r="J29" s="27"/>
      <c r="K29" s="27"/>
      <c r="L29" s="27"/>
      <c r="M29" s="27"/>
      <c r="N29" s="27"/>
      <c r="O29" s="27"/>
      <c r="P29" s="27"/>
      <c r="Q29" s="27"/>
      <c r="R29" s="27"/>
      <c r="S29" s="14"/>
    </row>
    <row r="30" spans="2:19" x14ac:dyDescent="0.25">
      <c r="B30" s="34"/>
      <c r="C30" s="33"/>
      <c r="D30" s="27"/>
      <c r="E30" s="27"/>
      <c r="F30" s="27"/>
      <c r="G30" s="27"/>
      <c r="H30" s="27"/>
      <c r="I30" s="27"/>
      <c r="J30" s="27"/>
      <c r="K30" s="27"/>
      <c r="L30" s="27"/>
      <c r="M30" s="27"/>
      <c r="N30" s="27"/>
      <c r="O30" s="27"/>
      <c r="P30" s="27"/>
      <c r="Q30" s="27"/>
      <c r="R30" s="27"/>
      <c r="S30" s="14"/>
    </row>
    <row r="31" spans="2:19" x14ac:dyDescent="0.25">
      <c r="B31" s="12"/>
      <c r="C31" s="27"/>
      <c r="D31" s="27"/>
      <c r="E31" s="27"/>
      <c r="F31" s="27"/>
      <c r="G31" s="27"/>
      <c r="H31" s="27"/>
      <c r="I31" s="27"/>
      <c r="J31" s="27"/>
      <c r="K31" s="27"/>
      <c r="L31" s="27"/>
      <c r="M31" s="27"/>
      <c r="N31" s="27"/>
      <c r="O31" s="27"/>
      <c r="P31" s="27"/>
      <c r="Q31" s="27"/>
      <c r="R31" s="27"/>
      <c r="S31" s="14"/>
    </row>
    <row r="32" spans="2:19" x14ac:dyDescent="0.25">
      <c r="B32" s="12"/>
      <c r="C32" s="27"/>
      <c r="D32" s="27"/>
      <c r="E32" s="27"/>
      <c r="F32" s="27"/>
      <c r="G32" s="27"/>
      <c r="H32" s="27"/>
      <c r="I32" s="27"/>
      <c r="J32" s="27"/>
      <c r="K32" s="27"/>
      <c r="L32" s="27"/>
      <c r="M32" s="27"/>
      <c r="N32" s="27"/>
      <c r="O32" s="27"/>
      <c r="P32" s="27"/>
      <c r="Q32" s="27"/>
      <c r="R32" s="27"/>
      <c r="S32" s="14"/>
    </row>
    <row r="33" spans="2:19" ht="7.5" customHeight="1" x14ac:dyDescent="0.25">
      <c r="B33" s="15"/>
      <c r="C33" s="16"/>
      <c r="D33" s="16"/>
      <c r="E33" s="16"/>
      <c r="F33" s="16"/>
      <c r="G33" s="16"/>
      <c r="H33" s="16"/>
      <c r="I33" s="16"/>
      <c r="J33" s="16"/>
      <c r="K33" s="16"/>
      <c r="L33" s="16"/>
      <c r="M33" s="16"/>
      <c r="N33" s="16"/>
      <c r="O33" s="16"/>
      <c r="P33" s="16"/>
      <c r="Q33" s="16"/>
      <c r="R33" s="16"/>
      <c r="S33" s="17"/>
    </row>
  </sheetData>
  <mergeCells count="1">
    <mergeCell ref="B29:C30"/>
  </mergeCells>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F29E2-E7F5-45BC-BF1D-2FE0967ADF33}">
  <sheetPr codeName="Sheet2"/>
  <dimension ref="B2:R63"/>
  <sheetViews>
    <sheetView workbookViewId="0">
      <selection activeCell="D23" sqref="D23"/>
    </sheetView>
  </sheetViews>
  <sheetFormatPr defaultRowHeight="15" x14ac:dyDescent="0.25"/>
  <cols>
    <col min="1" max="1" width="2.5703125" customWidth="1"/>
    <col min="2" max="2" width="22.140625" bestFit="1" customWidth="1"/>
    <col min="3" max="3" width="12.7109375" bestFit="1" customWidth="1"/>
    <col min="4" max="4" width="15" bestFit="1" customWidth="1"/>
    <col min="5" max="5" width="14.140625" bestFit="1" customWidth="1"/>
    <col min="6" max="6" width="15.140625" bestFit="1" customWidth="1"/>
    <col min="7" max="7" width="12.85546875" bestFit="1" customWidth="1"/>
    <col min="8" max="8" width="14.140625" bestFit="1" customWidth="1"/>
    <col min="9" max="9" width="12.140625" bestFit="1" customWidth="1"/>
    <col min="10" max="10" width="21.42578125" bestFit="1" customWidth="1"/>
    <col min="11" max="11" width="14.140625" bestFit="1" customWidth="1"/>
    <col min="12" max="12" width="15.85546875" style="3" bestFit="1" customWidth="1"/>
    <col min="13" max="13" width="17" bestFit="1" customWidth="1"/>
    <col min="14" max="14" width="13.42578125" bestFit="1" customWidth="1"/>
    <col min="15" max="15" width="19" bestFit="1" customWidth="1"/>
    <col min="16" max="16" width="12.7109375" bestFit="1" customWidth="1"/>
    <col min="17" max="17" width="14.140625" bestFit="1" customWidth="1"/>
    <col min="18" max="18" width="12.7109375" bestFit="1" customWidth="1"/>
    <col min="19" max="19" width="10.85546875" bestFit="1" customWidth="1"/>
    <col min="20" max="20" width="11.28515625" bestFit="1" customWidth="1"/>
    <col min="21" max="21" width="15.85546875" bestFit="1" customWidth="1"/>
    <col min="22" max="22" width="10.7109375" bestFit="1" customWidth="1"/>
    <col min="23" max="23" width="16.85546875" bestFit="1" customWidth="1"/>
    <col min="24" max="24" width="15.42578125" bestFit="1" customWidth="1"/>
    <col min="25" max="25" width="13.28515625" bestFit="1" customWidth="1"/>
    <col min="26" max="26" width="15.7109375" bestFit="1" customWidth="1"/>
    <col min="27" max="27" width="10.140625" bestFit="1" customWidth="1"/>
    <col min="28" max="28" width="20.28515625" bestFit="1" customWidth="1"/>
    <col min="29" max="29" width="15.5703125" bestFit="1" customWidth="1"/>
    <col min="30" max="30" width="13.140625" bestFit="1" customWidth="1"/>
    <col min="31" max="31" width="10.5703125" bestFit="1" customWidth="1"/>
    <col min="32" max="32" width="9.42578125" bestFit="1" customWidth="1"/>
    <col min="33" max="33" width="18.7109375" bestFit="1" customWidth="1"/>
    <col min="34" max="34" width="11.28515625" bestFit="1" customWidth="1"/>
    <col min="35" max="35" width="9.85546875" bestFit="1" customWidth="1"/>
    <col min="36" max="36" width="11.28515625" bestFit="1" customWidth="1"/>
    <col min="37" max="37" width="12.28515625" bestFit="1" customWidth="1"/>
    <col min="38" max="38" width="11.5703125" bestFit="1" customWidth="1"/>
    <col min="39" max="39" width="10.42578125" bestFit="1" customWidth="1"/>
    <col min="40" max="40" width="10.85546875" bestFit="1" customWidth="1"/>
    <col min="41" max="41" width="15.140625" bestFit="1" customWidth="1"/>
    <col min="42" max="42" width="12" bestFit="1" customWidth="1"/>
    <col min="43" max="43" width="10.42578125" bestFit="1" customWidth="1"/>
    <col min="44" max="44" width="12" bestFit="1" customWidth="1"/>
    <col min="45" max="45" width="11.28515625" bestFit="1" customWidth="1"/>
    <col min="46" max="46" width="17.28515625" bestFit="1" customWidth="1"/>
    <col min="47" max="47" width="11.7109375" bestFit="1" customWidth="1"/>
    <col min="48" max="48" width="14.5703125" bestFit="1" customWidth="1"/>
    <col min="49" max="49" width="15.140625" bestFit="1" customWidth="1"/>
    <col min="50" max="50" width="12.85546875" bestFit="1" customWidth="1"/>
    <col min="51" max="51" width="14.140625" bestFit="1" customWidth="1"/>
    <col min="52" max="52" width="11" bestFit="1" customWidth="1"/>
    <col min="53" max="53" width="13.42578125" bestFit="1" customWidth="1"/>
    <col min="54" max="54" width="12.5703125" bestFit="1" customWidth="1"/>
    <col min="55" max="55" width="17.28515625" bestFit="1" customWidth="1"/>
    <col min="56" max="56" width="15.7109375" bestFit="1" customWidth="1"/>
    <col min="57" max="57" width="12.7109375" bestFit="1" customWidth="1"/>
    <col min="58" max="58" width="13.28515625" bestFit="1" customWidth="1"/>
    <col min="59" max="59" width="12.7109375" bestFit="1" customWidth="1"/>
    <col min="60" max="60" width="11.5703125" bestFit="1" customWidth="1"/>
    <col min="61" max="61" width="13.42578125" bestFit="1" customWidth="1"/>
    <col min="62" max="62" width="11.7109375" bestFit="1" customWidth="1"/>
    <col min="63" max="63" width="11.28515625" bestFit="1" customWidth="1"/>
    <col min="64" max="65" width="8" bestFit="1" customWidth="1"/>
    <col min="66" max="66" width="7" bestFit="1" customWidth="1"/>
    <col min="67" max="67" width="5" bestFit="1" customWidth="1"/>
    <col min="68" max="69" width="8" bestFit="1" customWidth="1"/>
    <col min="70" max="70" width="7" bestFit="1" customWidth="1"/>
    <col min="71" max="72" width="8" bestFit="1" customWidth="1"/>
    <col min="73" max="73" width="5" bestFit="1" customWidth="1"/>
    <col min="74" max="74" width="9" bestFit="1" customWidth="1"/>
    <col min="75" max="76" width="7" bestFit="1" customWidth="1"/>
    <col min="77" max="78" width="8" bestFit="1" customWidth="1"/>
    <col min="79" max="79" width="7" bestFit="1" customWidth="1"/>
    <col min="80" max="80" width="8" bestFit="1" customWidth="1"/>
    <col min="81" max="81" width="7" bestFit="1" customWidth="1"/>
    <col min="82" max="82" width="8" bestFit="1" customWidth="1"/>
    <col min="83" max="83" width="5" bestFit="1" customWidth="1"/>
    <col min="84" max="84" width="7" bestFit="1" customWidth="1"/>
    <col min="85" max="86" width="8" bestFit="1" customWidth="1"/>
    <col min="87" max="87" width="7" bestFit="1" customWidth="1"/>
    <col min="88" max="90" width="8" bestFit="1" customWidth="1"/>
    <col min="91" max="91" width="7" bestFit="1" customWidth="1"/>
    <col min="92" max="92" width="9" bestFit="1" customWidth="1"/>
    <col min="93" max="94" width="8" bestFit="1" customWidth="1"/>
    <col min="95" max="95" width="7" bestFit="1" customWidth="1"/>
    <col min="96" max="99" width="8" bestFit="1" customWidth="1"/>
    <col min="100" max="100" width="5" bestFit="1" customWidth="1"/>
    <col min="101" max="101" width="8" bestFit="1" customWidth="1"/>
    <col min="102" max="102" width="7" bestFit="1" customWidth="1"/>
    <col min="103" max="103" width="8" bestFit="1" customWidth="1"/>
    <col min="104" max="104" width="9" bestFit="1" customWidth="1"/>
    <col min="105" max="106" width="8" bestFit="1" customWidth="1"/>
    <col min="107" max="107" width="7" bestFit="1" customWidth="1"/>
    <col min="108" max="109" width="8" bestFit="1" customWidth="1"/>
    <col min="110" max="110" width="9" bestFit="1" customWidth="1"/>
    <col min="111" max="111" width="8" bestFit="1" customWidth="1"/>
    <col min="112" max="115" width="7" bestFit="1" customWidth="1"/>
    <col min="116" max="116" width="5" bestFit="1" customWidth="1"/>
    <col min="117" max="117" width="8" bestFit="1" customWidth="1"/>
    <col min="118" max="118" width="7" bestFit="1" customWidth="1"/>
    <col min="119" max="120" width="8" bestFit="1" customWidth="1"/>
    <col min="121" max="121" width="5" bestFit="1" customWidth="1"/>
    <col min="122" max="123" width="8" bestFit="1" customWidth="1"/>
    <col min="124" max="124" width="9" bestFit="1" customWidth="1"/>
    <col min="125" max="128" width="8" bestFit="1" customWidth="1"/>
    <col min="129" max="129" width="9" bestFit="1" customWidth="1"/>
    <col min="130" max="130" width="7" bestFit="1" customWidth="1"/>
    <col min="131" max="132" width="8" bestFit="1" customWidth="1"/>
    <col min="133" max="133" width="5" bestFit="1" customWidth="1"/>
    <col min="134" max="134" width="9" bestFit="1" customWidth="1"/>
    <col min="135" max="135" width="7" bestFit="1" customWidth="1"/>
    <col min="136" max="138" width="8" bestFit="1" customWidth="1"/>
    <col min="139" max="139" width="9" bestFit="1" customWidth="1"/>
    <col min="140" max="141" width="8" bestFit="1" customWidth="1"/>
    <col min="142" max="142" width="7" bestFit="1" customWidth="1"/>
    <col min="143" max="143" width="9" bestFit="1" customWidth="1"/>
    <col min="144" max="144" width="7" bestFit="1" customWidth="1"/>
    <col min="145" max="146" width="8" bestFit="1" customWidth="1"/>
    <col min="147" max="147" width="7" bestFit="1" customWidth="1"/>
    <col min="148" max="149" width="8" bestFit="1" customWidth="1"/>
    <col min="150" max="150" width="7" bestFit="1" customWidth="1"/>
    <col min="151" max="151" width="8" bestFit="1" customWidth="1"/>
    <col min="152" max="152" width="7" bestFit="1" customWidth="1"/>
    <col min="153" max="154" width="8" bestFit="1" customWidth="1"/>
    <col min="155" max="155" width="7" bestFit="1" customWidth="1"/>
    <col min="156" max="161" width="8" bestFit="1" customWidth="1"/>
    <col min="162" max="162" width="7" bestFit="1" customWidth="1"/>
    <col min="163" max="163" width="9" bestFit="1" customWidth="1"/>
    <col min="164" max="164" width="7" bestFit="1" customWidth="1"/>
    <col min="165" max="169" width="8" bestFit="1" customWidth="1"/>
    <col min="170" max="170" width="7" bestFit="1" customWidth="1"/>
    <col min="171" max="173" width="8" bestFit="1" customWidth="1"/>
    <col min="174" max="174" width="9" bestFit="1" customWidth="1"/>
    <col min="175" max="176" width="8" bestFit="1" customWidth="1"/>
    <col min="177" max="177" width="7" bestFit="1" customWidth="1"/>
    <col min="178" max="178" width="9" bestFit="1" customWidth="1"/>
    <col min="179" max="181" width="8" bestFit="1" customWidth="1"/>
    <col min="182" max="182" width="7" bestFit="1" customWidth="1"/>
    <col min="183" max="184" width="8" bestFit="1" customWidth="1"/>
    <col min="185" max="185" width="7" bestFit="1" customWidth="1"/>
    <col min="186" max="189" width="8" bestFit="1" customWidth="1"/>
    <col min="190" max="190" width="9" bestFit="1" customWidth="1"/>
    <col min="191" max="200" width="8" bestFit="1" customWidth="1"/>
    <col min="201" max="201" width="9" bestFit="1" customWidth="1"/>
    <col min="202" max="203" width="8" bestFit="1" customWidth="1"/>
    <col min="204" max="204" width="7" bestFit="1" customWidth="1"/>
    <col min="205" max="209" width="8" bestFit="1" customWidth="1"/>
    <col min="210" max="212" width="7" bestFit="1" customWidth="1"/>
    <col min="213" max="217" width="8" bestFit="1" customWidth="1"/>
    <col min="218" max="218" width="7" bestFit="1" customWidth="1"/>
    <col min="219" max="219" width="8" bestFit="1" customWidth="1"/>
    <col min="220" max="220" width="9" bestFit="1" customWidth="1"/>
    <col min="221" max="224" width="8" bestFit="1" customWidth="1"/>
    <col min="225" max="227" width="7" bestFit="1" customWidth="1"/>
    <col min="228" max="228" width="8" bestFit="1" customWidth="1"/>
    <col min="229" max="229" width="5" bestFit="1" customWidth="1"/>
    <col min="230" max="230" width="8" bestFit="1" customWidth="1"/>
    <col min="231" max="231" width="7" bestFit="1" customWidth="1"/>
    <col min="232" max="233" width="8" bestFit="1" customWidth="1"/>
    <col min="234" max="234" width="5" bestFit="1" customWidth="1"/>
    <col min="235" max="239" width="8" bestFit="1" customWidth="1"/>
    <col min="240" max="240" width="9" bestFit="1" customWidth="1"/>
    <col min="241" max="243" width="8" bestFit="1" customWidth="1"/>
    <col min="244" max="244" width="7" bestFit="1" customWidth="1"/>
    <col min="245" max="248" width="8" bestFit="1" customWidth="1"/>
    <col min="249" max="249" width="7" bestFit="1" customWidth="1"/>
    <col min="250" max="255" width="8" bestFit="1" customWidth="1"/>
    <col min="256" max="256" width="9" bestFit="1" customWidth="1"/>
    <col min="257" max="258" width="8" bestFit="1" customWidth="1"/>
    <col min="259" max="259" width="9" bestFit="1" customWidth="1"/>
    <col min="260" max="260" width="7" bestFit="1" customWidth="1"/>
    <col min="261" max="263" width="8" bestFit="1" customWidth="1"/>
    <col min="264" max="264" width="9" bestFit="1" customWidth="1"/>
    <col min="265" max="266" width="8" bestFit="1" customWidth="1"/>
    <col min="267" max="267" width="9" bestFit="1" customWidth="1"/>
    <col min="268" max="272" width="8" bestFit="1" customWidth="1"/>
    <col min="273" max="273" width="7" bestFit="1" customWidth="1"/>
    <col min="274" max="276" width="8" bestFit="1" customWidth="1"/>
    <col min="277" max="277" width="7" bestFit="1" customWidth="1"/>
    <col min="278" max="278" width="5" bestFit="1" customWidth="1"/>
    <col min="279" max="283" width="8" bestFit="1" customWidth="1"/>
    <col min="284" max="284" width="5" bestFit="1" customWidth="1"/>
    <col min="285" max="287" width="8" bestFit="1" customWidth="1"/>
    <col min="288" max="288" width="9" bestFit="1" customWidth="1"/>
    <col min="289" max="293" width="8" bestFit="1" customWidth="1"/>
    <col min="294" max="294" width="5" bestFit="1" customWidth="1"/>
    <col min="295" max="298" width="8" bestFit="1" customWidth="1"/>
    <col min="299" max="299" width="9" bestFit="1" customWidth="1"/>
    <col min="300" max="300" width="8" bestFit="1" customWidth="1"/>
    <col min="301" max="302" width="7" bestFit="1" customWidth="1"/>
    <col min="303" max="305" width="8" bestFit="1" customWidth="1"/>
    <col min="306" max="306" width="5" bestFit="1" customWidth="1"/>
    <col min="307" max="307" width="9" bestFit="1" customWidth="1"/>
    <col min="308" max="309" width="7" bestFit="1" customWidth="1"/>
    <col min="310" max="314" width="8" bestFit="1" customWidth="1"/>
    <col min="315" max="315" width="7" bestFit="1" customWidth="1"/>
    <col min="316" max="316" width="9" bestFit="1" customWidth="1"/>
    <col min="317" max="317" width="8" bestFit="1" customWidth="1"/>
    <col min="318" max="319" width="7" bestFit="1" customWidth="1"/>
    <col min="320" max="320" width="9" bestFit="1" customWidth="1"/>
    <col min="321" max="321" width="7" bestFit="1" customWidth="1"/>
    <col min="322" max="322" width="9" bestFit="1" customWidth="1"/>
    <col min="323" max="327" width="8" bestFit="1" customWidth="1"/>
    <col min="328" max="328" width="5" bestFit="1" customWidth="1"/>
    <col min="329" max="329" width="9" bestFit="1" customWidth="1"/>
    <col min="330" max="331" width="8" bestFit="1" customWidth="1"/>
    <col min="332" max="332" width="7" bestFit="1" customWidth="1"/>
    <col min="333" max="336" width="8" bestFit="1" customWidth="1"/>
    <col min="337" max="337" width="9" bestFit="1" customWidth="1"/>
    <col min="338" max="338" width="7" bestFit="1" customWidth="1"/>
    <col min="339" max="345" width="8" bestFit="1" customWidth="1"/>
    <col min="346" max="346" width="9" bestFit="1" customWidth="1"/>
    <col min="347" max="349" width="8" bestFit="1" customWidth="1"/>
    <col min="350" max="350" width="7" bestFit="1" customWidth="1"/>
    <col min="351" max="356" width="8" bestFit="1" customWidth="1"/>
    <col min="357" max="357" width="7" bestFit="1" customWidth="1"/>
    <col min="358" max="362" width="8" bestFit="1" customWidth="1"/>
    <col min="363" max="363" width="7" bestFit="1" customWidth="1"/>
    <col min="364" max="369" width="8" bestFit="1" customWidth="1"/>
    <col min="370" max="370" width="9" bestFit="1" customWidth="1"/>
    <col min="371" max="372" width="8" bestFit="1" customWidth="1"/>
    <col min="373" max="373" width="5" bestFit="1" customWidth="1"/>
    <col min="374" max="374" width="8" bestFit="1" customWidth="1"/>
    <col min="375" max="375" width="7" bestFit="1" customWidth="1"/>
    <col min="376" max="377" width="8" bestFit="1" customWidth="1"/>
    <col min="378" max="378" width="9" bestFit="1" customWidth="1"/>
    <col min="379" max="379" width="7" bestFit="1" customWidth="1"/>
    <col min="380" max="380" width="8" bestFit="1" customWidth="1"/>
    <col min="381" max="381" width="7" bestFit="1" customWidth="1"/>
    <col min="382" max="382" width="8" bestFit="1" customWidth="1"/>
    <col min="383" max="383" width="9" bestFit="1" customWidth="1"/>
    <col min="384" max="385" width="8" bestFit="1" customWidth="1"/>
    <col min="386" max="387" width="7" bestFit="1" customWidth="1"/>
    <col min="388" max="389" width="8" bestFit="1" customWidth="1"/>
    <col min="390" max="390" width="7" bestFit="1" customWidth="1"/>
    <col min="391" max="393" width="9" bestFit="1" customWidth="1"/>
    <col min="394" max="394" width="8" bestFit="1" customWidth="1"/>
    <col min="395" max="395" width="7" bestFit="1" customWidth="1"/>
    <col min="396" max="396" width="9" bestFit="1" customWidth="1"/>
    <col min="397" max="398" width="8" bestFit="1" customWidth="1"/>
    <col min="399" max="399" width="9" bestFit="1" customWidth="1"/>
    <col min="400" max="400" width="7" bestFit="1" customWidth="1"/>
    <col min="401" max="401" width="9" bestFit="1" customWidth="1"/>
    <col min="402" max="402" width="7" bestFit="1" customWidth="1"/>
    <col min="403" max="403" width="8" bestFit="1" customWidth="1"/>
    <col min="404" max="404" width="5" bestFit="1" customWidth="1"/>
    <col min="405" max="405" width="9" bestFit="1" customWidth="1"/>
    <col min="406" max="406" width="8" bestFit="1" customWidth="1"/>
    <col min="407" max="407" width="5" bestFit="1" customWidth="1"/>
    <col min="408" max="411" width="8" bestFit="1" customWidth="1"/>
    <col min="412" max="412" width="9" bestFit="1" customWidth="1"/>
    <col min="413" max="415" width="8" bestFit="1" customWidth="1"/>
    <col min="416" max="417" width="7" bestFit="1" customWidth="1"/>
    <col min="418" max="419" width="8" bestFit="1" customWidth="1"/>
    <col min="420" max="421" width="9" bestFit="1" customWidth="1"/>
    <col min="422" max="423" width="8" bestFit="1" customWidth="1"/>
    <col min="424" max="424" width="9" bestFit="1" customWidth="1"/>
    <col min="425" max="425" width="8" bestFit="1" customWidth="1"/>
    <col min="426" max="426" width="9" bestFit="1" customWidth="1"/>
    <col min="427" max="428" width="8" bestFit="1" customWidth="1"/>
    <col min="429" max="429" width="7" bestFit="1" customWidth="1"/>
    <col min="430" max="430" width="8" bestFit="1" customWidth="1"/>
    <col min="431" max="431" width="5" bestFit="1" customWidth="1"/>
    <col min="432" max="432" width="8" bestFit="1" customWidth="1"/>
    <col min="433" max="433" width="7" bestFit="1" customWidth="1"/>
    <col min="434" max="434" width="9" bestFit="1" customWidth="1"/>
    <col min="435" max="435" width="7" bestFit="1" customWidth="1"/>
    <col min="436" max="437" width="9" bestFit="1" customWidth="1"/>
    <col min="438" max="439" width="8" bestFit="1" customWidth="1"/>
    <col min="440" max="441" width="7" bestFit="1" customWidth="1"/>
    <col min="442" max="442" width="8" bestFit="1" customWidth="1"/>
    <col min="443" max="444" width="9" bestFit="1" customWidth="1"/>
    <col min="445" max="445" width="7" bestFit="1" customWidth="1"/>
    <col min="446" max="446" width="8" bestFit="1" customWidth="1"/>
    <col min="447" max="447" width="9" bestFit="1" customWidth="1"/>
    <col min="448" max="448" width="8" bestFit="1" customWidth="1"/>
    <col min="449" max="449" width="9" bestFit="1" customWidth="1"/>
    <col min="450" max="450" width="8" bestFit="1" customWidth="1"/>
    <col min="451" max="451" width="9" bestFit="1" customWidth="1"/>
    <col min="452" max="452" width="8" bestFit="1" customWidth="1"/>
    <col min="453" max="453" width="5" bestFit="1" customWidth="1"/>
    <col min="454" max="457" width="8" bestFit="1" customWidth="1"/>
    <col min="458" max="458" width="9" bestFit="1" customWidth="1"/>
    <col min="459" max="459" width="7" bestFit="1" customWidth="1"/>
    <col min="460" max="461" width="8" bestFit="1" customWidth="1"/>
    <col min="462" max="462" width="9" bestFit="1" customWidth="1"/>
    <col min="463" max="463" width="8" bestFit="1" customWidth="1"/>
    <col min="464" max="464" width="9" bestFit="1" customWidth="1"/>
    <col min="465" max="465" width="7" bestFit="1" customWidth="1"/>
    <col min="466" max="466" width="8" bestFit="1" customWidth="1"/>
    <col min="467" max="467" width="7" bestFit="1" customWidth="1"/>
    <col min="468" max="471" width="8" bestFit="1" customWidth="1"/>
    <col min="472" max="472" width="9" bestFit="1" customWidth="1"/>
    <col min="473" max="475" width="8" bestFit="1" customWidth="1"/>
    <col min="476" max="476" width="9" bestFit="1" customWidth="1"/>
    <col min="477" max="477" width="7" bestFit="1" customWidth="1"/>
    <col min="478" max="478" width="8" bestFit="1" customWidth="1"/>
    <col min="479" max="479" width="9" bestFit="1" customWidth="1"/>
    <col min="480" max="480" width="8" bestFit="1" customWidth="1"/>
    <col min="481" max="481" width="9" bestFit="1" customWidth="1"/>
    <col min="482" max="482" width="7" bestFit="1" customWidth="1"/>
    <col min="483" max="483" width="9" bestFit="1" customWidth="1"/>
    <col min="484" max="484" width="8" bestFit="1" customWidth="1"/>
    <col min="485" max="485" width="7" bestFit="1" customWidth="1"/>
    <col min="486" max="487" width="8" bestFit="1" customWidth="1"/>
    <col min="488" max="488" width="9" bestFit="1" customWidth="1"/>
    <col min="489" max="491" width="8" bestFit="1" customWidth="1"/>
    <col min="492" max="492" width="9" bestFit="1" customWidth="1"/>
    <col min="493" max="493" width="8" bestFit="1" customWidth="1"/>
    <col min="494" max="494" width="9" bestFit="1" customWidth="1"/>
    <col min="495" max="498" width="8" bestFit="1" customWidth="1"/>
    <col min="499" max="499" width="9" bestFit="1" customWidth="1"/>
    <col min="500" max="500" width="7" bestFit="1" customWidth="1"/>
    <col min="501" max="501" width="8" bestFit="1" customWidth="1"/>
    <col min="502" max="502" width="9" bestFit="1" customWidth="1"/>
    <col min="503" max="503" width="8" bestFit="1" customWidth="1"/>
    <col min="504" max="504" width="9" bestFit="1" customWidth="1"/>
    <col min="505" max="511" width="8" bestFit="1" customWidth="1"/>
    <col min="512" max="512" width="5" bestFit="1" customWidth="1"/>
    <col min="513" max="522" width="8" bestFit="1" customWidth="1"/>
    <col min="523" max="523" width="5" bestFit="1" customWidth="1"/>
    <col min="524" max="527" width="8" bestFit="1" customWidth="1"/>
    <col min="528" max="528" width="7" bestFit="1" customWidth="1"/>
    <col min="529" max="529" width="9" bestFit="1" customWidth="1"/>
    <col min="530" max="530" width="8" bestFit="1" customWidth="1"/>
    <col min="531" max="531" width="9" bestFit="1" customWidth="1"/>
    <col min="532" max="532" width="8" bestFit="1" customWidth="1"/>
    <col min="533" max="533" width="7" bestFit="1" customWidth="1"/>
    <col min="534" max="535" width="8" bestFit="1" customWidth="1"/>
    <col min="536" max="536" width="7" bestFit="1" customWidth="1"/>
    <col min="537" max="537" width="8" bestFit="1" customWidth="1"/>
    <col min="538" max="538" width="7" bestFit="1" customWidth="1"/>
    <col min="539" max="542" width="8" bestFit="1" customWidth="1"/>
    <col min="543" max="543" width="9" bestFit="1" customWidth="1"/>
    <col min="544" max="544" width="7" bestFit="1" customWidth="1"/>
    <col min="545" max="545" width="8" bestFit="1" customWidth="1"/>
    <col min="546" max="547" width="7" bestFit="1" customWidth="1"/>
    <col min="548" max="548" width="5" bestFit="1" customWidth="1"/>
    <col min="549" max="551" width="8" bestFit="1" customWidth="1"/>
    <col min="552" max="552" width="7" bestFit="1" customWidth="1"/>
    <col min="553" max="553" width="8" bestFit="1" customWidth="1"/>
    <col min="554" max="554" width="5" bestFit="1" customWidth="1"/>
    <col min="555" max="556" width="8" bestFit="1" customWidth="1"/>
    <col min="557" max="557" width="9" bestFit="1" customWidth="1"/>
    <col min="558" max="558" width="7" bestFit="1" customWidth="1"/>
    <col min="559" max="561" width="8" bestFit="1" customWidth="1"/>
    <col min="562" max="562" width="9" bestFit="1" customWidth="1"/>
    <col min="563" max="563" width="7" bestFit="1" customWidth="1"/>
    <col min="564" max="564" width="8" bestFit="1" customWidth="1"/>
    <col min="565" max="565" width="7" bestFit="1" customWidth="1"/>
    <col min="566" max="566" width="8" bestFit="1" customWidth="1"/>
    <col min="567" max="567" width="9" bestFit="1" customWidth="1"/>
    <col min="568" max="569" width="8" bestFit="1" customWidth="1"/>
    <col min="570" max="570" width="7" bestFit="1" customWidth="1"/>
    <col min="571" max="571" width="5" bestFit="1" customWidth="1"/>
    <col min="572" max="572" width="8" bestFit="1" customWidth="1"/>
    <col min="573" max="573" width="7" bestFit="1" customWidth="1"/>
    <col min="574" max="574" width="5" bestFit="1" customWidth="1"/>
    <col min="575" max="575" width="8" bestFit="1" customWidth="1"/>
    <col min="576" max="576" width="9" bestFit="1" customWidth="1"/>
    <col min="577" max="578" width="5" bestFit="1" customWidth="1"/>
    <col min="579" max="580" width="9" bestFit="1" customWidth="1"/>
    <col min="581" max="581" width="5" bestFit="1" customWidth="1"/>
    <col min="582" max="582" width="8" bestFit="1" customWidth="1"/>
    <col min="583" max="583" width="9" bestFit="1" customWidth="1"/>
    <col min="584" max="585" width="7" bestFit="1" customWidth="1"/>
    <col min="586" max="586" width="5" bestFit="1" customWidth="1"/>
    <col min="587" max="587" width="7" bestFit="1" customWidth="1"/>
    <col min="588" max="588" width="9" bestFit="1" customWidth="1"/>
    <col min="589" max="589" width="5" bestFit="1" customWidth="1"/>
    <col min="590" max="593" width="8" bestFit="1" customWidth="1"/>
    <col min="594" max="597" width="7" bestFit="1" customWidth="1"/>
    <col min="598" max="598" width="8" bestFit="1" customWidth="1"/>
    <col min="599" max="599" width="7" bestFit="1" customWidth="1"/>
    <col min="600" max="600" width="9" bestFit="1" customWidth="1"/>
    <col min="601" max="601" width="5" bestFit="1" customWidth="1"/>
    <col min="602" max="603" width="8" bestFit="1" customWidth="1"/>
    <col min="604" max="604" width="7" bestFit="1" customWidth="1"/>
    <col min="605" max="605" width="5" bestFit="1" customWidth="1"/>
    <col min="606" max="606" width="9" bestFit="1" customWidth="1"/>
    <col min="607" max="609" width="7" bestFit="1" customWidth="1"/>
    <col min="610" max="611" width="8" bestFit="1" customWidth="1"/>
    <col min="612" max="612" width="5" bestFit="1" customWidth="1"/>
    <col min="613" max="613" width="9" bestFit="1" customWidth="1"/>
    <col min="614" max="614" width="7" bestFit="1" customWidth="1"/>
    <col min="615" max="615" width="9" bestFit="1" customWidth="1"/>
    <col min="616" max="616" width="7" bestFit="1" customWidth="1"/>
    <col min="617" max="617" width="8" bestFit="1" customWidth="1"/>
    <col min="618" max="619" width="7" bestFit="1" customWidth="1"/>
    <col min="620" max="620" width="5" bestFit="1" customWidth="1"/>
    <col min="621" max="621" width="8" bestFit="1" customWidth="1"/>
    <col min="622" max="622" width="5" bestFit="1" customWidth="1"/>
    <col min="623" max="623" width="8" bestFit="1" customWidth="1"/>
    <col min="624" max="624" width="9" bestFit="1" customWidth="1"/>
    <col min="625" max="625" width="7" bestFit="1" customWidth="1"/>
    <col min="626" max="629" width="8" bestFit="1" customWidth="1"/>
    <col min="630" max="630" width="5" bestFit="1" customWidth="1"/>
    <col min="631" max="631" width="7" bestFit="1" customWidth="1"/>
    <col min="632" max="632" width="8" bestFit="1" customWidth="1"/>
    <col min="633" max="633" width="7" bestFit="1" customWidth="1"/>
    <col min="634" max="639" width="8" bestFit="1" customWidth="1"/>
    <col min="640" max="640" width="7" bestFit="1" customWidth="1"/>
    <col min="641" max="645" width="8" bestFit="1" customWidth="1"/>
    <col min="646" max="647" width="9" bestFit="1" customWidth="1"/>
    <col min="648" max="651" width="8" bestFit="1" customWidth="1"/>
    <col min="652" max="652" width="7" bestFit="1" customWidth="1"/>
    <col min="653" max="655" width="8" bestFit="1" customWidth="1"/>
    <col min="656" max="656" width="9" bestFit="1" customWidth="1"/>
    <col min="657" max="657" width="7" bestFit="1" customWidth="1"/>
    <col min="658" max="658" width="9" bestFit="1" customWidth="1"/>
    <col min="659" max="660" width="8" bestFit="1" customWidth="1"/>
    <col min="661" max="661" width="9" bestFit="1" customWidth="1"/>
    <col min="662" max="662" width="8" bestFit="1" customWidth="1"/>
    <col min="663" max="663" width="7" bestFit="1" customWidth="1"/>
    <col min="664" max="666" width="8" bestFit="1" customWidth="1"/>
    <col min="667" max="668" width="7" bestFit="1" customWidth="1"/>
    <col min="669" max="669" width="8" bestFit="1" customWidth="1"/>
    <col min="670" max="671" width="9" bestFit="1" customWidth="1"/>
    <col min="672" max="674" width="8" bestFit="1" customWidth="1"/>
    <col min="675" max="675" width="5" bestFit="1" customWidth="1"/>
    <col min="676" max="676" width="8" bestFit="1" customWidth="1"/>
    <col min="677" max="677" width="9" bestFit="1" customWidth="1"/>
    <col min="678" max="678" width="8" bestFit="1" customWidth="1"/>
    <col min="679" max="679" width="9" bestFit="1" customWidth="1"/>
    <col min="680" max="681" width="8" bestFit="1" customWidth="1"/>
    <col min="682" max="682" width="9" bestFit="1" customWidth="1"/>
    <col min="683" max="683" width="5" bestFit="1" customWidth="1"/>
    <col min="684" max="685" width="8" bestFit="1" customWidth="1"/>
    <col min="686" max="687" width="9" bestFit="1" customWidth="1"/>
    <col min="688" max="688" width="8" bestFit="1" customWidth="1"/>
    <col min="689" max="689" width="5" bestFit="1" customWidth="1"/>
    <col min="690" max="690" width="8" bestFit="1" customWidth="1"/>
    <col min="691" max="691" width="7" bestFit="1" customWidth="1"/>
    <col min="692" max="695" width="8" bestFit="1" customWidth="1"/>
    <col min="696" max="696" width="7" bestFit="1" customWidth="1"/>
    <col min="697" max="697" width="8" bestFit="1" customWidth="1"/>
    <col min="698" max="699" width="9" bestFit="1" customWidth="1"/>
    <col min="700" max="701" width="5" bestFit="1" customWidth="1"/>
    <col min="702" max="703" width="7" bestFit="1" customWidth="1"/>
    <col min="704" max="704" width="8" bestFit="1" customWidth="1"/>
    <col min="705" max="705" width="9" bestFit="1" customWidth="1"/>
    <col min="706" max="706" width="7" bestFit="1" customWidth="1"/>
    <col min="707" max="707" width="8" bestFit="1" customWidth="1"/>
    <col min="708" max="709" width="7" bestFit="1" customWidth="1"/>
    <col min="710" max="710" width="8" bestFit="1" customWidth="1"/>
    <col min="711" max="713" width="7" bestFit="1" customWidth="1"/>
    <col min="714" max="714" width="5" bestFit="1" customWidth="1"/>
    <col min="715" max="715" width="8" bestFit="1" customWidth="1"/>
    <col min="716" max="716" width="5" bestFit="1" customWidth="1"/>
    <col min="717" max="720" width="8" bestFit="1" customWidth="1"/>
    <col min="721" max="721" width="9" bestFit="1" customWidth="1"/>
    <col min="722" max="722" width="8" bestFit="1" customWidth="1"/>
    <col min="723" max="723" width="7" bestFit="1" customWidth="1"/>
    <col min="724" max="724" width="5" bestFit="1" customWidth="1"/>
    <col min="725" max="725" width="8" bestFit="1" customWidth="1"/>
    <col min="726" max="726" width="7" bestFit="1" customWidth="1"/>
    <col min="727" max="727" width="8" bestFit="1" customWidth="1"/>
    <col min="728" max="728" width="9" bestFit="1" customWidth="1"/>
    <col min="729" max="730" width="8" bestFit="1" customWidth="1"/>
    <col min="731" max="731" width="9" bestFit="1" customWidth="1"/>
    <col min="732" max="732" width="7" bestFit="1" customWidth="1"/>
    <col min="733" max="733" width="5" bestFit="1" customWidth="1"/>
    <col min="734" max="734" width="8" bestFit="1" customWidth="1"/>
    <col min="735" max="735" width="7" bestFit="1" customWidth="1"/>
    <col min="736" max="739" width="8" bestFit="1" customWidth="1"/>
    <col min="740" max="740" width="7" bestFit="1" customWidth="1"/>
    <col min="741" max="742" width="8" bestFit="1" customWidth="1"/>
    <col min="743" max="743" width="9" bestFit="1" customWidth="1"/>
    <col min="744" max="744" width="7" bestFit="1" customWidth="1"/>
    <col min="745" max="745" width="8" bestFit="1" customWidth="1"/>
    <col min="746" max="746" width="7" bestFit="1" customWidth="1"/>
    <col min="747" max="747" width="8" bestFit="1" customWidth="1"/>
    <col min="748" max="748" width="7" bestFit="1" customWidth="1"/>
    <col min="749" max="749" width="5" bestFit="1" customWidth="1"/>
    <col min="750" max="750" width="8" bestFit="1" customWidth="1"/>
    <col min="751" max="751" width="9" bestFit="1" customWidth="1"/>
    <col min="752" max="752" width="8" bestFit="1" customWidth="1"/>
    <col min="753" max="753" width="7" bestFit="1" customWidth="1"/>
    <col min="754" max="755" width="8" bestFit="1" customWidth="1"/>
    <col min="756" max="756" width="5" bestFit="1" customWidth="1"/>
    <col min="757" max="757" width="8" bestFit="1" customWidth="1"/>
    <col min="758" max="758" width="9" bestFit="1" customWidth="1"/>
    <col min="759" max="759" width="5" bestFit="1" customWidth="1"/>
    <col min="760" max="760" width="8" bestFit="1" customWidth="1"/>
    <col min="761" max="761" width="5" bestFit="1" customWidth="1"/>
    <col min="762" max="762" width="8" bestFit="1" customWidth="1"/>
    <col min="763" max="764" width="7" bestFit="1" customWidth="1"/>
    <col min="765" max="766" width="9" bestFit="1" customWidth="1"/>
    <col min="767" max="768" width="8" bestFit="1" customWidth="1"/>
    <col min="769" max="769" width="9" bestFit="1" customWidth="1"/>
    <col min="770" max="771" width="8" bestFit="1" customWidth="1"/>
    <col min="772" max="772" width="7" bestFit="1" customWidth="1"/>
    <col min="773" max="773" width="9" bestFit="1" customWidth="1"/>
    <col min="774" max="775" width="8" bestFit="1" customWidth="1"/>
    <col min="776" max="776" width="9" bestFit="1" customWidth="1"/>
    <col min="777" max="779" width="8" bestFit="1" customWidth="1"/>
    <col min="780" max="780" width="7" bestFit="1" customWidth="1"/>
    <col min="781" max="781" width="8" bestFit="1" customWidth="1"/>
    <col min="782" max="782" width="9" bestFit="1" customWidth="1"/>
    <col min="783" max="783" width="8" bestFit="1" customWidth="1"/>
    <col min="784" max="784" width="9" bestFit="1" customWidth="1"/>
    <col min="785" max="785" width="8" bestFit="1" customWidth="1"/>
    <col min="786" max="787" width="7" bestFit="1" customWidth="1"/>
    <col min="788" max="789" width="8" bestFit="1" customWidth="1"/>
    <col min="790" max="790" width="7" bestFit="1" customWidth="1"/>
    <col min="791" max="791" width="5" bestFit="1" customWidth="1"/>
    <col min="792" max="792" width="7" bestFit="1" customWidth="1"/>
    <col min="793" max="793" width="9" bestFit="1" customWidth="1"/>
    <col min="794" max="796" width="8" bestFit="1" customWidth="1"/>
    <col min="797" max="797" width="5" bestFit="1" customWidth="1"/>
    <col min="798" max="798" width="9" bestFit="1" customWidth="1"/>
    <col min="799" max="799" width="5" bestFit="1" customWidth="1"/>
    <col min="800" max="800" width="7" bestFit="1" customWidth="1"/>
    <col min="801" max="803" width="8" bestFit="1" customWidth="1"/>
    <col min="804" max="804" width="9" bestFit="1" customWidth="1"/>
    <col min="805" max="807" width="8" bestFit="1" customWidth="1"/>
    <col min="808" max="808" width="5" bestFit="1" customWidth="1"/>
    <col min="809" max="812" width="8" bestFit="1" customWidth="1"/>
    <col min="813" max="813" width="7" bestFit="1" customWidth="1"/>
    <col min="814" max="815" width="8" bestFit="1" customWidth="1"/>
    <col min="816" max="816" width="5" bestFit="1" customWidth="1"/>
    <col min="817" max="827" width="8" bestFit="1" customWidth="1"/>
    <col min="828" max="828" width="5" bestFit="1" customWidth="1"/>
    <col min="829" max="834" width="8" bestFit="1" customWidth="1"/>
    <col min="835" max="835" width="7" bestFit="1" customWidth="1"/>
    <col min="836" max="837" width="8" bestFit="1" customWidth="1"/>
    <col min="838" max="838" width="7" bestFit="1" customWidth="1"/>
    <col min="839" max="842" width="8" bestFit="1" customWidth="1"/>
    <col min="843" max="843" width="9" bestFit="1" customWidth="1"/>
    <col min="844" max="844" width="8" bestFit="1" customWidth="1"/>
    <col min="845" max="845" width="7" bestFit="1" customWidth="1"/>
    <col min="846" max="846" width="8" bestFit="1" customWidth="1"/>
    <col min="847" max="847" width="7" bestFit="1" customWidth="1"/>
    <col min="848" max="848" width="5" bestFit="1" customWidth="1"/>
    <col min="849" max="851" width="8" bestFit="1" customWidth="1"/>
    <col min="852" max="852" width="5" bestFit="1" customWidth="1"/>
    <col min="853" max="855" width="8" bestFit="1" customWidth="1"/>
    <col min="856" max="856" width="9" bestFit="1" customWidth="1"/>
    <col min="857" max="863" width="8" bestFit="1" customWidth="1"/>
    <col min="864" max="865" width="7" bestFit="1" customWidth="1"/>
    <col min="866" max="867" width="8" bestFit="1" customWidth="1"/>
    <col min="868" max="868" width="7" bestFit="1" customWidth="1"/>
    <col min="869" max="869" width="9" bestFit="1" customWidth="1"/>
    <col min="870" max="870" width="7" bestFit="1" customWidth="1"/>
    <col min="871" max="871" width="8" bestFit="1" customWidth="1"/>
    <col min="872" max="872" width="9" bestFit="1" customWidth="1"/>
    <col min="873" max="874" width="8" bestFit="1" customWidth="1"/>
    <col min="875" max="875" width="9" bestFit="1" customWidth="1"/>
    <col min="876" max="879" width="8" bestFit="1" customWidth="1"/>
    <col min="880" max="880" width="7" bestFit="1" customWidth="1"/>
    <col min="881" max="882" width="8" bestFit="1" customWidth="1"/>
    <col min="883" max="883" width="7" bestFit="1" customWidth="1"/>
    <col min="884" max="884" width="5" bestFit="1" customWidth="1"/>
    <col min="885" max="887" width="8" bestFit="1" customWidth="1"/>
    <col min="888" max="888" width="7" bestFit="1" customWidth="1"/>
    <col min="889" max="889" width="5" bestFit="1" customWidth="1"/>
    <col min="890" max="894" width="8" bestFit="1" customWidth="1"/>
    <col min="895" max="896" width="9" bestFit="1" customWidth="1"/>
    <col min="897" max="900" width="8" bestFit="1" customWidth="1"/>
    <col min="901" max="902" width="9" bestFit="1" customWidth="1"/>
    <col min="903" max="905" width="8" bestFit="1" customWidth="1"/>
    <col min="906" max="906" width="9" bestFit="1" customWidth="1"/>
    <col min="907" max="911" width="8" bestFit="1" customWidth="1"/>
    <col min="912" max="912" width="9" bestFit="1" customWidth="1"/>
    <col min="913" max="913" width="7" bestFit="1" customWidth="1"/>
    <col min="914" max="915" width="8" bestFit="1" customWidth="1"/>
    <col min="916" max="917" width="7" bestFit="1" customWidth="1"/>
    <col min="918" max="919" width="8" bestFit="1" customWidth="1"/>
    <col min="920" max="920" width="5" bestFit="1" customWidth="1"/>
    <col min="921" max="922" width="8" bestFit="1" customWidth="1"/>
    <col min="923" max="923" width="5" bestFit="1" customWidth="1"/>
    <col min="924" max="924" width="8" bestFit="1" customWidth="1"/>
    <col min="925" max="925" width="9" bestFit="1" customWidth="1"/>
    <col min="926" max="926" width="8" bestFit="1" customWidth="1"/>
    <col min="927" max="927" width="5" bestFit="1" customWidth="1"/>
    <col min="928" max="928" width="7" bestFit="1" customWidth="1"/>
    <col min="929" max="930" width="8" bestFit="1" customWidth="1"/>
    <col min="931" max="931" width="7" bestFit="1" customWidth="1"/>
    <col min="932" max="932" width="8" bestFit="1" customWidth="1"/>
    <col min="933" max="933" width="9" bestFit="1" customWidth="1"/>
    <col min="934" max="937" width="8" bestFit="1" customWidth="1"/>
    <col min="938" max="939" width="7" bestFit="1" customWidth="1"/>
    <col min="940" max="941" width="8" bestFit="1" customWidth="1"/>
    <col min="942" max="942" width="9" bestFit="1" customWidth="1"/>
    <col min="943" max="943" width="7" bestFit="1" customWidth="1"/>
    <col min="944" max="944" width="8" bestFit="1" customWidth="1"/>
    <col min="945" max="946" width="7" bestFit="1" customWidth="1"/>
    <col min="947" max="948" width="8" bestFit="1" customWidth="1"/>
    <col min="949" max="949" width="9" bestFit="1" customWidth="1"/>
    <col min="950" max="950" width="5" bestFit="1" customWidth="1"/>
    <col min="951" max="954" width="8" bestFit="1" customWidth="1"/>
    <col min="955" max="955" width="5" bestFit="1" customWidth="1"/>
    <col min="956" max="957" width="8" bestFit="1" customWidth="1"/>
    <col min="958" max="958" width="7" bestFit="1" customWidth="1"/>
    <col min="959" max="961" width="8" bestFit="1" customWidth="1"/>
    <col min="962" max="962" width="9" bestFit="1" customWidth="1"/>
    <col min="963" max="963" width="8" bestFit="1" customWidth="1"/>
    <col min="964" max="964" width="7" bestFit="1" customWidth="1"/>
    <col min="965" max="965" width="5" bestFit="1" customWidth="1"/>
    <col min="966" max="966" width="9" bestFit="1" customWidth="1"/>
    <col min="967" max="968" width="8" bestFit="1" customWidth="1"/>
    <col min="969" max="969" width="7" bestFit="1" customWidth="1"/>
    <col min="970" max="973" width="8" bestFit="1" customWidth="1"/>
    <col min="974" max="974" width="5" bestFit="1" customWidth="1"/>
    <col min="975" max="975" width="7" bestFit="1" customWidth="1"/>
    <col min="976" max="976" width="8" bestFit="1" customWidth="1"/>
    <col min="977" max="978" width="5" bestFit="1" customWidth="1"/>
    <col min="979" max="982" width="8" bestFit="1" customWidth="1"/>
    <col min="983" max="983" width="7" bestFit="1" customWidth="1"/>
    <col min="984" max="984" width="8" bestFit="1" customWidth="1"/>
    <col min="985" max="985" width="9" bestFit="1" customWidth="1"/>
    <col min="986" max="986" width="5" bestFit="1" customWidth="1"/>
    <col min="987" max="987" width="8" bestFit="1" customWidth="1"/>
    <col min="988" max="988" width="5" bestFit="1" customWidth="1"/>
    <col min="989" max="989" width="9" bestFit="1" customWidth="1"/>
    <col min="990" max="990" width="7" bestFit="1" customWidth="1"/>
    <col min="991" max="992" width="8" bestFit="1" customWidth="1"/>
    <col min="993" max="993" width="9" bestFit="1" customWidth="1"/>
    <col min="994" max="994" width="7" bestFit="1" customWidth="1"/>
    <col min="995" max="996" width="8" bestFit="1" customWidth="1"/>
    <col min="997" max="997" width="9" bestFit="1" customWidth="1"/>
    <col min="998" max="1002" width="8" bestFit="1" customWidth="1"/>
    <col min="1003" max="1003" width="9" bestFit="1" customWidth="1"/>
    <col min="1004" max="1006" width="8" bestFit="1" customWidth="1"/>
    <col min="1007" max="1007" width="7" bestFit="1" customWidth="1"/>
    <col min="1008" max="1008" width="5" bestFit="1" customWidth="1"/>
    <col min="1009" max="1009" width="7" bestFit="1" customWidth="1"/>
    <col min="1010" max="1010" width="9" bestFit="1" customWidth="1"/>
    <col min="1011" max="1011" width="7" bestFit="1" customWidth="1"/>
    <col min="1012" max="1012" width="8" bestFit="1" customWidth="1"/>
    <col min="1013" max="1013" width="7" bestFit="1" customWidth="1"/>
    <col min="1014" max="1016" width="8" bestFit="1" customWidth="1"/>
    <col min="1017" max="1017" width="7" bestFit="1" customWidth="1"/>
    <col min="1018" max="1018" width="8" bestFit="1" customWidth="1"/>
    <col min="1019" max="1019" width="7" bestFit="1" customWidth="1"/>
    <col min="1020" max="1020" width="9" bestFit="1" customWidth="1"/>
    <col min="1021" max="1024" width="8" bestFit="1" customWidth="1"/>
    <col min="1025" max="1025" width="7" bestFit="1" customWidth="1"/>
    <col min="1026" max="1026" width="8" bestFit="1" customWidth="1"/>
    <col min="1027" max="1027" width="7" bestFit="1" customWidth="1"/>
    <col min="1028" max="1028" width="8" bestFit="1" customWidth="1"/>
    <col min="1029" max="1030" width="7" bestFit="1" customWidth="1"/>
    <col min="1031" max="1037" width="8" bestFit="1" customWidth="1"/>
    <col min="1038" max="1038" width="7" bestFit="1" customWidth="1"/>
    <col min="1039" max="1039" width="8" bestFit="1" customWidth="1"/>
    <col min="1040" max="1040" width="7" bestFit="1" customWidth="1"/>
    <col min="1041" max="1041" width="5" bestFit="1" customWidth="1"/>
    <col min="1042" max="1044" width="8" bestFit="1" customWidth="1"/>
    <col min="1045" max="1046" width="9" bestFit="1" customWidth="1"/>
    <col min="1047" max="1047" width="7" bestFit="1" customWidth="1"/>
    <col min="1048" max="1048" width="9" bestFit="1" customWidth="1"/>
    <col min="1049" max="1049" width="7" bestFit="1" customWidth="1"/>
    <col min="1050" max="1052" width="8" bestFit="1" customWidth="1"/>
    <col min="1053" max="1053" width="9" bestFit="1" customWidth="1"/>
    <col min="1054" max="1054" width="8" bestFit="1" customWidth="1"/>
    <col min="1055" max="1055" width="7" bestFit="1" customWidth="1"/>
    <col min="1056" max="1057" width="8" bestFit="1" customWidth="1"/>
    <col min="1058" max="1058" width="9" bestFit="1" customWidth="1"/>
    <col min="1059" max="1059" width="7" bestFit="1" customWidth="1"/>
    <col min="1060" max="1060" width="9" bestFit="1" customWidth="1"/>
    <col min="1061" max="1061" width="7" bestFit="1" customWidth="1"/>
    <col min="1062" max="1062" width="8" bestFit="1" customWidth="1"/>
    <col min="1063" max="1063" width="9" bestFit="1" customWidth="1"/>
    <col min="1064" max="1065" width="7" bestFit="1" customWidth="1"/>
    <col min="1066" max="1066" width="9" bestFit="1" customWidth="1"/>
    <col min="1067" max="1067" width="7" bestFit="1" customWidth="1"/>
    <col min="1068" max="1072" width="8" bestFit="1" customWidth="1"/>
    <col min="1073" max="1073" width="9" bestFit="1" customWidth="1"/>
    <col min="1074" max="1074" width="7" bestFit="1" customWidth="1"/>
    <col min="1075" max="1075" width="8" bestFit="1" customWidth="1"/>
    <col min="1076" max="1076" width="9" bestFit="1" customWidth="1"/>
    <col min="1077" max="1078" width="7" bestFit="1" customWidth="1"/>
    <col min="1079" max="1079" width="8" bestFit="1" customWidth="1"/>
    <col min="1080" max="1080" width="7" bestFit="1" customWidth="1"/>
    <col min="1081" max="1081" width="9" bestFit="1" customWidth="1"/>
    <col min="1082" max="1082" width="8" bestFit="1" customWidth="1"/>
    <col min="1083" max="1083" width="9" bestFit="1" customWidth="1"/>
    <col min="1084" max="1092" width="8" bestFit="1" customWidth="1"/>
    <col min="1093" max="1093" width="9" bestFit="1" customWidth="1"/>
    <col min="1094" max="1095" width="8" bestFit="1" customWidth="1"/>
    <col min="1096" max="1096" width="9" bestFit="1" customWidth="1"/>
    <col min="1097" max="1098" width="8" bestFit="1" customWidth="1"/>
    <col min="1099" max="1100" width="9" bestFit="1" customWidth="1"/>
    <col min="1101" max="1101" width="5" bestFit="1" customWidth="1"/>
    <col min="1102" max="1104" width="8" bestFit="1" customWidth="1"/>
    <col min="1105" max="1105" width="5" bestFit="1" customWidth="1"/>
    <col min="1106" max="1106" width="9" bestFit="1" customWidth="1"/>
    <col min="1107" max="1107" width="8" bestFit="1" customWidth="1"/>
    <col min="1108" max="1108" width="7" bestFit="1" customWidth="1"/>
    <col min="1109" max="1109" width="8" bestFit="1" customWidth="1"/>
    <col min="1110" max="1111" width="5" bestFit="1" customWidth="1"/>
    <col min="1112" max="1112" width="8" bestFit="1" customWidth="1"/>
    <col min="1113" max="1113" width="7" bestFit="1" customWidth="1"/>
    <col min="1114" max="1114" width="8" bestFit="1" customWidth="1"/>
    <col min="1115" max="1115" width="9" bestFit="1" customWidth="1"/>
    <col min="1116" max="1116" width="7" bestFit="1" customWidth="1"/>
    <col min="1117" max="1117" width="8" bestFit="1" customWidth="1"/>
    <col min="1118" max="1118" width="9" bestFit="1" customWidth="1"/>
    <col min="1119" max="1119" width="8" bestFit="1" customWidth="1"/>
    <col min="1120" max="1120" width="9" bestFit="1" customWidth="1"/>
    <col min="1121" max="1122" width="8" bestFit="1" customWidth="1"/>
    <col min="1123" max="1123" width="9" bestFit="1" customWidth="1"/>
    <col min="1124" max="1127" width="8" bestFit="1" customWidth="1"/>
    <col min="1128" max="1128" width="9" bestFit="1" customWidth="1"/>
    <col min="1129" max="1129" width="7" bestFit="1" customWidth="1"/>
    <col min="1130" max="1130" width="8" bestFit="1" customWidth="1"/>
    <col min="1131" max="1131" width="9" bestFit="1" customWidth="1"/>
    <col min="1132" max="1132" width="7" bestFit="1" customWidth="1"/>
    <col min="1133" max="1133" width="8" bestFit="1" customWidth="1"/>
    <col min="1134" max="1134" width="7" bestFit="1" customWidth="1"/>
    <col min="1135" max="1135" width="9" bestFit="1" customWidth="1"/>
    <col min="1136" max="1136" width="7" bestFit="1" customWidth="1"/>
    <col min="1137" max="1138" width="8" bestFit="1" customWidth="1"/>
    <col min="1139" max="1139" width="9" bestFit="1" customWidth="1"/>
    <col min="1140" max="1144" width="8" bestFit="1" customWidth="1"/>
    <col min="1145" max="1145" width="9" bestFit="1" customWidth="1"/>
    <col min="1146" max="1147" width="8" bestFit="1" customWidth="1"/>
    <col min="1148" max="1149" width="9" bestFit="1" customWidth="1"/>
    <col min="1150" max="1151" width="8" bestFit="1" customWidth="1"/>
    <col min="1152" max="1152" width="9" bestFit="1" customWidth="1"/>
    <col min="1153" max="1153" width="8" bestFit="1" customWidth="1"/>
    <col min="1154" max="1155" width="7" bestFit="1" customWidth="1"/>
    <col min="1156" max="1157" width="9" bestFit="1" customWidth="1"/>
    <col min="1158" max="1163" width="8" bestFit="1" customWidth="1"/>
    <col min="1164" max="1164" width="7" bestFit="1" customWidth="1"/>
    <col min="1165" max="1166" width="9" bestFit="1" customWidth="1"/>
    <col min="1167" max="1170" width="8" bestFit="1" customWidth="1"/>
    <col min="1171" max="1171" width="9" bestFit="1" customWidth="1"/>
    <col min="1172" max="1172" width="7" bestFit="1" customWidth="1"/>
    <col min="1173" max="1175" width="8" bestFit="1" customWidth="1"/>
    <col min="1176" max="1176" width="7" bestFit="1" customWidth="1"/>
    <col min="1177" max="1179" width="8" bestFit="1" customWidth="1"/>
    <col min="1180" max="1180" width="9" bestFit="1" customWidth="1"/>
    <col min="1181" max="1184" width="8" bestFit="1" customWidth="1"/>
    <col min="1185" max="1186" width="9" bestFit="1" customWidth="1"/>
    <col min="1187" max="1187" width="7" bestFit="1" customWidth="1"/>
    <col min="1188" max="1188" width="8" bestFit="1" customWidth="1"/>
    <col min="1189" max="1190" width="9" bestFit="1" customWidth="1"/>
    <col min="1191" max="1191" width="8" bestFit="1" customWidth="1"/>
    <col min="1192" max="1192" width="9" bestFit="1" customWidth="1"/>
    <col min="1193" max="1195" width="8" bestFit="1" customWidth="1"/>
    <col min="1196" max="1196" width="9" bestFit="1" customWidth="1"/>
    <col min="1197" max="1197" width="8" bestFit="1" customWidth="1"/>
    <col min="1198" max="1198" width="9" bestFit="1" customWidth="1"/>
    <col min="1199" max="1202" width="8" bestFit="1" customWidth="1"/>
    <col min="1203" max="1203" width="9" bestFit="1" customWidth="1"/>
    <col min="1204" max="1206" width="8" bestFit="1" customWidth="1"/>
    <col min="1207" max="1208" width="9" bestFit="1" customWidth="1"/>
    <col min="1209" max="1209" width="8" bestFit="1" customWidth="1"/>
    <col min="1210" max="1210" width="9" bestFit="1" customWidth="1"/>
    <col min="1211" max="1211" width="8" bestFit="1" customWidth="1"/>
    <col min="1212" max="1212" width="9" bestFit="1" customWidth="1"/>
    <col min="1213" max="1213" width="7" bestFit="1" customWidth="1"/>
    <col min="1214" max="1214" width="5" bestFit="1" customWidth="1"/>
    <col min="1215" max="1216" width="8" bestFit="1" customWidth="1"/>
    <col min="1217" max="1217" width="9" bestFit="1" customWidth="1"/>
    <col min="1218" max="1218" width="7" bestFit="1" customWidth="1"/>
    <col min="1219" max="1220" width="8" bestFit="1" customWidth="1"/>
    <col min="1221" max="1221" width="7" bestFit="1" customWidth="1"/>
    <col min="1222" max="1227" width="8" bestFit="1" customWidth="1"/>
    <col min="1228" max="1228" width="7" bestFit="1" customWidth="1"/>
    <col min="1229" max="1229" width="9" bestFit="1" customWidth="1"/>
    <col min="1230" max="1231" width="8" bestFit="1" customWidth="1"/>
    <col min="1232" max="1232" width="7" bestFit="1" customWidth="1"/>
    <col min="1233" max="1233" width="8" bestFit="1" customWidth="1"/>
    <col min="1234" max="1235" width="9" bestFit="1" customWidth="1"/>
    <col min="1236" max="1237" width="8" bestFit="1" customWidth="1"/>
    <col min="1238" max="1238" width="9" bestFit="1" customWidth="1"/>
    <col min="1239" max="1241" width="8" bestFit="1" customWidth="1"/>
    <col min="1242" max="1242" width="7" bestFit="1" customWidth="1"/>
    <col min="1243" max="1243" width="9" bestFit="1" customWidth="1"/>
    <col min="1244" max="1245" width="8" bestFit="1" customWidth="1"/>
    <col min="1246" max="1246" width="9" bestFit="1" customWidth="1"/>
    <col min="1247" max="1247" width="8" bestFit="1" customWidth="1"/>
    <col min="1248" max="1248" width="9" bestFit="1" customWidth="1"/>
    <col min="1249" max="1250" width="8" bestFit="1" customWidth="1"/>
    <col min="1251" max="1251" width="7" bestFit="1" customWidth="1"/>
    <col min="1252" max="1252" width="9" bestFit="1" customWidth="1"/>
    <col min="1253" max="1254" width="8" bestFit="1" customWidth="1"/>
    <col min="1255" max="1255" width="5" bestFit="1" customWidth="1"/>
    <col min="1256" max="1256" width="9" bestFit="1" customWidth="1"/>
    <col min="1257" max="1259" width="8" bestFit="1" customWidth="1"/>
    <col min="1260" max="1260" width="9" bestFit="1" customWidth="1"/>
    <col min="1261" max="1262" width="8" bestFit="1" customWidth="1"/>
    <col min="1263" max="1263" width="9" bestFit="1" customWidth="1"/>
    <col min="1264" max="1264" width="8" bestFit="1" customWidth="1"/>
    <col min="1265" max="1265" width="7" bestFit="1" customWidth="1"/>
    <col min="1266" max="1266" width="9" bestFit="1" customWidth="1"/>
    <col min="1267" max="1268" width="7" bestFit="1" customWidth="1"/>
    <col min="1269" max="1269" width="9" bestFit="1" customWidth="1"/>
    <col min="1270" max="1270" width="7" bestFit="1" customWidth="1"/>
    <col min="1271" max="1273" width="8" bestFit="1" customWidth="1"/>
    <col min="1274" max="1274" width="9" bestFit="1" customWidth="1"/>
    <col min="1275" max="1275" width="8" bestFit="1" customWidth="1"/>
    <col min="1276" max="1276" width="9" bestFit="1" customWidth="1"/>
    <col min="1277" max="1279" width="8" bestFit="1" customWidth="1"/>
    <col min="1280" max="1280" width="9" bestFit="1" customWidth="1"/>
    <col min="1281" max="1282" width="8" bestFit="1" customWidth="1"/>
    <col min="1283" max="1283" width="9" bestFit="1" customWidth="1"/>
    <col min="1284" max="1285" width="8" bestFit="1" customWidth="1"/>
    <col min="1286" max="1286" width="9" bestFit="1" customWidth="1"/>
    <col min="1287" max="1292" width="8" bestFit="1" customWidth="1"/>
    <col min="1293" max="1293" width="7" bestFit="1" customWidth="1"/>
    <col min="1294" max="1294" width="9" bestFit="1" customWidth="1"/>
    <col min="1295" max="1295" width="7" bestFit="1" customWidth="1"/>
    <col min="1296" max="1297" width="8" bestFit="1" customWidth="1"/>
    <col min="1298" max="1299" width="9" bestFit="1" customWidth="1"/>
    <col min="1300" max="1303" width="8" bestFit="1" customWidth="1"/>
    <col min="1304" max="1304" width="9" bestFit="1" customWidth="1"/>
    <col min="1305" max="1306" width="8" bestFit="1" customWidth="1"/>
    <col min="1307" max="1307" width="9" bestFit="1" customWidth="1"/>
    <col min="1308" max="1310" width="8" bestFit="1" customWidth="1"/>
    <col min="1311" max="1311" width="9" bestFit="1" customWidth="1"/>
    <col min="1312" max="1312" width="8" bestFit="1" customWidth="1"/>
    <col min="1313" max="1313" width="9" bestFit="1" customWidth="1"/>
    <col min="1314" max="1316" width="8" bestFit="1" customWidth="1"/>
    <col min="1317" max="1317" width="9" bestFit="1" customWidth="1"/>
    <col min="1318" max="1321" width="8" bestFit="1" customWidth="1"/>
    <col min="1322" max="1322" width="9" bestFit="1" customWidth="1"/>
    <col min="1323" max="1323" width="8" bestFit="1" customWidth="1"/>
    <col min="1324" max="1324" width="9" bestFit="1" customWidth="1"/>
    <col min="1325" max="1326" width="8" bestFit="1" customWidth="1"/>
    <col min="1327" max="1327" width="9" bestFit="1" customWidth="1"/>
    <col min="1328" max="1328" width="8" bestFit="1" customWidth="1"/>
    <col min="1329" max="1329" width="9" bestFit="1" customWidth="1"/>
    <col min="1330" max="1330" width="7" bestFit="1" customWidth="1"/>
    <col min="1331" max="1331" width="11.28515625" bestFit="1" customWidth="1"/>
  </cols>
  <sheetData>
    <row r="2" spans="2:18" x14ac:dyDescent="0.25">
      <c r="B2" s="19" t="s">
        <v>62</v>
      </c>
      <c r="C2" s="20" t="s">
        <v>61</v>
      </c>
      <c r="E2" s="23" t="s">
        <v>69</v>
      </c>
      <c r="F2" s="24" t="s">
        <v>83</v>
      </c>
      <c r="H2" s="23" t="s">
        <v>69</v>
      </c>
      <c r="I2" s="24" t="s">
        <v>82</v>
      </c>
      <c r="K2" s="23" t="s">
        <v>69</v>
      </c>
      <c r="L2" s="25" t="s">
        <v>81</v>
      </c>
      <c r="N2" s="23" t="s">
        <v>84</v>
      </c>
      <c r="O2" s="24" t="s">
        <v>85</v>
      </c>
      <c r="Q2" s="23" t="s">
        <v>69</v>
      </c>
      <c r="R2" s="26" t="s">
        <v>61</v>
      </c>
    </row>
    <row r="3" spans="2:18" x14ac:dyDescent="0.25">
      <c r="B3" s="21" t="s">
        <v>0</v>
      </c>
      <c r="C3" s="22">
        <v>127030.59000000001</v>
      </c>
      <c r="E3" s="28" t="s">
        <v>63</v>
      </c>
      <c r="F3" s="29">
        <v>259.58999999999992</v>
      </c>
      <c r="H3" s="28" t="s">
        <v>63</v>
      </c>
      <c r="I3" s="30">
        <v>2942.74</v>
      </c>
      <c r="K3" s="28" t="s">
        <v>63</v>
      </c>
      <c r="L3" s="29">
        <v>384.42857142857144</v>
      </c>
      <c r="N3" s="28" t="s">
        <v>63</v>
      </c>
      <c r="O3" s="30">
        <v>2942.74</v>
      </c>
      <c r="Q3" s="28" t="s">
        <v>63</v>
      </c>
      <c r="R3" s="31">
        <v>1190026.2749999992</v>
      </c>
    </row>
    <row r="4" spans="2:18" x14ac:dyDescent="0.25">
      <c r="B4" s="21" t="s">
        <v>1</v>
      </c>
      <c r="C4" s="22">
        <v>94326.795000000013</v>
      </c>
      <c r="E4" s="28" t="s">
        <v>64</v>
      </c>
      <c r="F4" s="29">
        <v>141.16999999999993</v>
      </c>
      <c r="H4" s="28" t="s">
        <v>64</v>
      </c>
      <c r="I4" s="30">
        <v>1693.45</v>
      </c>
      <c r="K4" s="28" t="s">
        <v>64</v>
      </c>
      <c r="L4" s="29">
        <v>383</v>
      </c>
      <c r="N4" s="28" t="s">
        <v>64</v>
      </c>
      <c r="O4" s="30">
        <v>1693.45</v>
      </c>
      <c r="Q4" s="28" t="s">
        <v>64</v>
      </c>
      <c r="R4" s="31">
        <v>675608.66000000027</v>
      </c>
    </row>
    <row r="5" spans="2:18" x14ac:dyDescent="0.25">
      <c r="B5" s="21" t="s">
        <v>2</v>
      </c>
      <c r="C5" s="22">
        <v>81586.050000000017</v>
      </c>
      <c r="E5" s="28" t="s">
        <v>65</v>
      </c>
      <c r="F5" s="29">
        <v>307.84000000000003</v>
      </c>
      <c r="H5" s="28" t="s">
        <v>65</v>
      </c>
      <c r="I5" s="30">
        <v>3673.42</v>
      </c>
      <c r="K5" s="28" t="s">
        <v>65</v>
      </c>
      <c r="L5" s="29">
        <v>375.22222222222223</v>
      </c>
      <c r="N5" s="28" t="s">
        <v>65</v>
      </c>
      <c r="O5" s="30">
        <v>3673.42</v>
      </c>
      <c r="Q5" s="28" t="s">
        <v>65</v>
      </c>
      <c r="R5" s="31">
        <v>1444799.6899999995</v>
      </c>
    </row>
    <row r="6" spans="2:18" x14ac:dyDescent="0.25">
      <c r="B6" s="21" t="s">
        <v>3</v>
      </c>
      <c r="C6" s="22">
        <v>59856.969999999994</v>
      </c>
      <c r="E6" s="28" t="s">
        <v>66</v>
      </c>
      <c r="F6" s="29">
        <v>130.85999999999999</v>
      </c>
      <c r="H6" s="28" t="s">
        <v>66</v>
      </c>
      <c r="I6" s="30">
        <v>1607.98</v>
      </c>
      <c r="K6" s="28" t="s">
        <v>66</v>
      </c>
      <c r="L6" s="29">
        <v>366.125</v>
      </c>
      <c r="N6" s="28" t="s">
        <v>66</v>
      </c>
      <c r="O6" s="30">
        <v>1607.98</v>
      </c>
      <c r="Q6" s="28" t="s">
        <v>66</v>
      </c>
      <c r="R6" s="31">
        <v>610016.80500000005</v>
      </c>
    </row>
    <row r="7" spans="2:18" x14ac:dyDescent="0.25">
      <c r="B7" s="21" t="s">
        <v>4</v>
      </c>
      <c r="C7" s="22">
        <v>111117.24500000001</v>
      </c>
      <c r="E7" s="28" t="s">
        <v>67</v>
      </c>
      <c r="F7" s="29">
        <v>213.85</v>
      </c>
      <c r="H7" s="28" t="s">
        <v>67</v>
      </c>
      <c r="I7" s="30">
        <v>2479.31</v>
      </c>
      <c r="K7" s="28" t="s">
        <v>67</v>
      </c>
      <c r="L7" s="29">
        <v>345</v>
      </c>
      <c r="N7" s="28" t="s">
        <v>67</v>
      </c>
      <c r="O7" s="30">
        <v>2479.31</v>
      </c>
      <c r="Q7" s="28" t="s">
        <v>67</v>
      </c>
      <c r="R7" s="31">
        <v>890546.46999999986</v>
      </c>
    </row>
    <row r="8" spans="2:18" x14ac:dyDescent="0.25">
      <c r="B8" s="21" t="s">
        <v>5</v>
      </c>
      <c r="C8" s="22">
        <v>56579.959999999992</v>
      </c>
      <c r="E8" s="28" t="s">
        <v>60</v>
      </c>
      <c r="F8" s="29">
        <v>1053.3100000000002</v>
      </c>
      <c r="H8" s="28" t="s">
        <v>60</v>
      </c>
      <c r="I8" s="30">
        <v>12396.9</v>
      </c>
      <c r="K8" s="28" t="s">
        <v>60</v>
      </c>
      <c r="L8" s="29">
        <v>371.15</v>
      </c>
      <c r="N8" s="28" t="s">
        <v>60</v>
      </c>
      <c r="O8" s="30">
        <v>12396.9</v>
      </c>
      <c r="Q8" s="28" t="s">
        <v>60</v>
      </c>
      <c r="R8" s="31">
        <v>4810997.8999999976</v>
      </c>
    </row>
    <row r="9" spans="2:18" x14ac:dyDescent="0.25">
      <c r="B9" s="21" t="s">
        <v>6</v>
      </c>
      <c r="C9" s="22">
        <v>127284.74000000002</v>
      </c>
    </row>
    <row r="10" spans="2:18" x14ac:dyDescent="0.25">
      <c r="B10" s="21" t="s">
        <v>7</v>
      </c>
      <c r="C10" s="22">
        <v>44450.700000000004</v>
      </c>
    </row>
    <row r="11" spans="2:18" x14ac:dyDescent="0.25">
      <c r="B11" s="21" t="s">
        <v>8</v>
      </c>
      <c r="C11" s="22">
        <v>37410.859999999993</v>
      </c>
    </row>
    <row r="12" spans="2:18" x14ac:dyDescent="0.25">
      <c r="B12" s="21" t="s">
        <v>9</v>
      </c>
      <c r="C12" s="22">
        <v>84505.680000000022</v>
      </c>
    </row>
    <row r="13" spans="2:18" x14ac:dyDescent="0.25">
      <c r="B13" s="21" t="s">
        <v>10</v>
      </c>
      <c r="C13" s="22">
        <v>126020.82</v>
      </c>
    </row>
    <row r="14" spans="2:18" x14ac:dyDescent="0.25">
      <c r="B14" s="21" t="s">
        <v>11</v>
      </c>
      <c r="C14" s="22">
        <v>94306.749999999985</v>
      </c>
    </row>
    <row r="15" spans="2:18" x14ac:dyDescent="0.25">
      <c r="B15" s="21" t="s">
        <v>12</v>
      </c>
      <c r="C15" s="22">
        <v>36676.01</v>
      </c>
    </row>
    <row r="16" spans="2:18" x14ac:dyDescent="0.25">
      <c r="B16" s="21" t="s">
        <v>13</v>
      </c>
      <c r="C16" s="22">
        <v>61512.119999999995</v>
      </c>
    </row>
    <row r="17" spans="2:3" x14ac:dyDescent="0.25">
      <c r="B17" s="21" t="s">
        <v>14</v>
      </c>
      <c r="C17" s="22">
        <v>105001.74000000002</v>
      </c>
    </row>
    <row r="18" spans="2:3" x14ac:dyDescent="0.25">
      <c r="B18" s="21" t="s">
        <v>15</v>
      </c>
      <c r="C18" s="22">
        <v>80982.825000000012</v>
      </c>
    </row>
    <row r="19" spans="2:3" x14ac:dyDescent="0.25">
      <c r="B19" s="21" t="s">
        <v>16</v>
      </c>
      <c r="C19" s="22">
        <v>99659.82</v>
      </c>
    </row>
    <row r="20" spans="2:3" x14ac:dyDescent="0.25">
      <c r="B20" s="21" t="s">
        <v>17</v>
      </c>
      <c r="C20" s="22">
        <v>64746.6</v>
      </c>
    </row>
    <row r="21" spans="2:3" x14ac:dyDescent="0.25">
      <c r="B21" s="21" t="s">
        <v>18</v>
      </c>
      <c r="C21" s="22">
        <v>39654.270000000004</v>
      </c>
    </row>
    <row r="22" spans="2:3" x14ac:dyDescent="0.25">
      <c r="B22" s="21" t="s">
        <v>19</v>
      </c>
      <c r="C22" s="22">
        <v>43665.440000000002</v>
      </c>
    </row>
    <row r="23" spans="2:3" x14ac:dyDescent="0.25">
      <c r="B23" s="21" t="s">
        <v>20</v>
      </c>
      <c r="C23" s="22">
        <v>84964.904999999999</v>
      </c>
    </row>
    <row r="24" spans="2:3" x14ac:dyDescent="0.25">
      <c r="B24" s="21" t="s">
        <v>21</v>
      </c>
      <c r="C24" s="22">
        <v>88488.999999999971</v>
      </c>
    </row>
    <row r="25" spans="2:3" x14ac:dyDescent="0.25">
      <c r="B25" s="21" t="s">
        <v>22</v>
      </c>
      <c r="C25" s="22">
        <v>89486.774999999994</v>
      </c>
    </row>
    <row r="26" spans="2:3" x14ac:dyDescent="0.25">
      <c r="B26" s="21" t="s">
        <v>23</v>
      </c>
      <c r="C26" s="22">
        <v>108974.45999999999</v>
      </c>
    </row>
    <row r="27" spans="2:3" x14ac:dyDescent="0.25">
      <c r="B27" s="21" t="s">
        <v>24</v>
      </c>
      <c r="C27" s="22">
        <v>104047.73999999999</v>
      </c>
    </row>
    <row r="28" spans="2:3" x14ac:dyDescent="0.25">
      <c r="B28" s="21" t="s">
        <v>25</v>
      </c>
      <c r="C28" s="22">
        <v>96565.56</v>
      </c>
    </row>
    <row r="29" spans="2:3" x14ac:dyDescent="0.25">
      <c r="B29" s="21" t="s">
        <v>26</v>
      </c>
      <c r="C29" s="22">
        <v>53270.069999999992</v>
      </c>
    </row>
    <row r="30" spans="2:3" x14ac:dyDescent="0.25">
      <c r="B30" s="21" t="s">
        <v>27</v>
      </c>
      <c r="C30" s="22">
        <v>100562.15999999999</v>
      </c>
    </row>
    <row r="31" spans="2:3" x14ac:dyDescent="0.25">
      <c r="B31" s="21" t="s">
        <v>28</v>
      </c>
      <c r="C31" s="22">
        <v>78391.95</v>
      </c>
    </row>
    <row r="32" spans="2:3" x14ac:dyDescent="0.25">
      <c r="B32" s="21" t="s">
        <v>29</v>
      </c>
      <c r="C32" s="22">
        <v>81002</v>
      </c>
    </row>
    <row r="33" spans="2:3" x14ac:dyDescent="0.25">
      <c r="B33" s="21" t="s">
        <v>30</v>
      </c>
      <c r="C33" s="22">
        <v>34869.775000000001</v>
      </c>
    </row>
    <row r="34" spans="2:3" x14ac:dyDescent="0.25">
      <c r="B34" s="21" t="s">
        <v>31</v>
      </c>
      <c r="C34" s="22">
        <v>74163.179999999993</v>
      </c>
    </row>
    <row r="35" spans="2:3" x14ac:dyDescent="0.25">
      <c r="B35" s="21" t="s">
        <v>32</v>
      </c>
      <c r="C35" s="22">
        <v>123087.28000000003</v>
      </c>
    </row>
    <row r="36" spans="2:3" x14ac:dyDescent="0.25">
      <c r="B36" s="21" t="s">
        <v>33</v>
      </c>
      <c r="C36" s="22">
        <v>47329.590000000004</v>
      </c>
    </row>
    <row r="37" spans="2:3" x14ac:dyDescent="0.25">
      <c r="B37" s="21" t="s">
        <v>34</v>
      </c>
      <c r="C37" s="22">
        <v>136341.27499999999</v>
      </c>
    </row>
    <row r="38" spans="2:3" x14ac:dyDescent="0.25">
      <c r="B38" s="21" t="s">
        <v>35</v>
      </c>
      <c r="C38" s="22">
        <v>111887.35500000003</v>
      </c>
    </row>
    <row r="39" spans="2:3" x14ac:dyDescent="0.25">
      <c r="B39" s="21" t="s">
        <v>36</v>
      </c>
      <c r="C39" s="22">
        <v>113591.065</v>
      </c>
    </row>
    <row r="40" spans="2:3" x14ac:dyDescent="0.25">
      <c r="B40" s="21" t="s">
        <v>37</v>
      </c>
      <c r="C40" s="22">
        <v>49209.930000000008</v>
      </c>
    </row>
    <row r="41" spans="2:3" x14ac:dyDescent="0.25">
      <c r="B41" s="21" t="s">
        <v>38</v>
      </c>
      <c r="C41" s="22">
        <v>86409.400000000009</v>
      </c>
    </row>
    <row r="42" spans="2:3" x14ac:dyDescent="0.25">
      <c r="B42" s="21" t="s">
        <v>39</v>
      </c>
      <c r="C42" s="22">
        <v>115118.01000000001</v>
      </c>
    </row>
    <row r="43" spans="2:3" x14ac:dyDescent="0.25">
      <c r="B43" s="21" t="s">
        <v>40</v>
      </c>
      <c r="C43" s="22">
        <v>116253.94999999998</v>
      </c>
    </row>
    <row r="44" spans="2:3" x14ac:dyDescent="0.25">
      <c r="B44" s="21" t="s">
        <v>41</v>
      </c>
      <c r="C44" s="22">
        <v>91043.27999999997</v>
      </c>
    </row>
    <row r="45" spans="2:3" x14ac:dyDescent="0.25">
      <c r="B45" s="21" t="s">
        <v>42</v>
      </c>
      <c r="C45" s="22">
        <v>103514.4</v>
      </c>
    </row>
    <row r="46" spans="2:3" x14ac:dyDescent="0.25">
      <c r="B46" s="21" t="s">
        <v>43</v>
      </c>
      <c r="C46" s="22">
        <v>67638.560000000012</v>
      </c>
    </row>
    <row r="47" spans="2:3" x14ac:dyDescent="0.25">
      <c r="B47" s="21" t="s">
        <v>44</v>
      </c>
      <c r="C47" s="22">
        <v>134316.63</v>
      </c>
    </row>
    <row r="48" spans="2:3" x14ac:dyDescent="0.25">
      <c r="B48" s="21" t="s">
        <v>45</v>
      </c>
      <c r="C48" s="22">
        <v>59351.159999999996</v>
      </c>
    </row>
    <row r="49" spans="2:3" x14ac:dyDescent="0.25">
      <c r="B49" s="21" t="s">
        <v>46</v>
      </c>
      <c r="C49" s="22">
        <v>63869.389999999992</v>
      </c>
    </row>
    <row r="50" spans="2:3" x14ac:dyDescent="0.25">
      <c r="B50" s="21" t="s">
        <v>47</v>
      </c>
      <c r="C50" s="22">
        <v>62841.520000000011</v>
      </c>
    </row>
    <row r="51" spans="2:3" x14ac:dyDescent="0.25">
      <c r="B51" s="21" t="s">
        <v>48</v>
      </c>
      <c r="C51" s="22">
        <v>39051.649999999994</v>
      </c>
    </row>
    <row r="52" spans="2:3" x14ac:dyDescent="0.25">
      <c r="B52" s="21" t="s">
        <v>49</v>
      </c>
      <c r="C52" s="22">
        <v>36717.300000000003</v>
      </c>
    </row>
    <row r="53" spans="2:3" x14ac:dyDescent="0.25">
      <c r="B53" s="21" t="s">
        <v>50</v>
      </c>
      <c r="C53" s="22">
        <v>51334.740000000005</v>
      </c>
    </row>
    <row r="54" spans="2:3" x14ac:dyDescent="0.25">
      <c r="B54" s="21" t="s">
        <v>51</v>
      </c>
      <c r="C54" s="22">
        <v>96478.2</v>
      </c>
    </row>
    <row r="55" spans="2:3" x14ac:dyDescent="0.25">
      <c r="B55" s="21" t="s">
        <v>52</v>
      </c>
      <c r="C55" s="22">
        <v>57854.739999999991</v>
      </c>
    </row>
    <row r="56" spans="2:3" x14ac:dyDescent="0.25">
      <c r="B56" s="21" t="s">
        <v>53</v>
      </c>
      <c r="C56" s="22">
        <v>37342.089999999989</v>
      </c>
    </row>
    <row r="57" spans="2:3" x14ac:dyDescent="0.25">
      <c r="B57" s="21" t="s">
        <v>54</v>
      </c>
      <c r="C57" s="22">
        <v>52451.21</v>
      </c>
    </row>
    <row r="58" spans="2:3" x14ac:dyDescent="0.25">
      <c r="B58" s="21" t="s">
        <v>55</v>
      </c>
      <c r="C58" s="22">
        <v>107698.48000000003</v>
      </c>
    </row>
    <row r="59" spans="2:3" x14ac:dyDescent="0.25">
      <c r="B59" s="21" t="s">
        <v>56</v>
      </c>
      <c r="C59" s="22">
        <v>132405.21</v>
      </c>
    </row>
    <row r="60" spans="2:3" x14ac:dyDescent="0.25">
      <c r="B60" s="21" t="s">
        <v>57</v>
      </c>
      <c r="C60" s="22">
        <v>33284.000000000007</v>
      </c>
    </row>
    <row r="61" spans="2:3" x14ac:dyDescent="0.25">
      <c r="B61" s="21" t="s">
        <v>58</v>
      </c>
      <c r="C61" s="22">
        <v>53923.274999999994</v>
      </c>
    </row>
    <row r="62" spans="2:3" x14ac:dyDescent="0.25">
      <c r="B62" s="21" t="s">
        <v>59</v>
      </c>
      <c r="C62" s="22">
        <v>59490.650000000009</v>
      </c>
    </row>
    <row r="63" spans="2:3" x14ac:dyDescent="0.25">
      <c r="B63" s="21" t="s">
        <v>60</v>
      </c>
      <c r="C63" s="22">
        <v>4810997.8999999976</v>
      </c>
    </row>
  </sheetData>
  <conditionalFormatting pivot="1" sqref="F3:F7">
    <cfRule type="colorScale" priority="6">
      <colorScale>
        <cfvo type="min"/>
        <cfvo type="percentile" val="50"/>
        <cfvo type="max"/>
        <color rgb="FFF8696B"/>
        <color rgb="FFFFEB84"/>
        <color rgb="FF63BE7B"/>
      </colorScale>
    </cfRule>
  </conditionalFormatting>
  <conditionalFormatting pivot="1" sqref="I3:I7">
    <cfRule type="iconSet" priority="5">
      <iconSet iconSet="3Arrows">
        <cfvo type="percent" val="0"/>
        <cfvo type="percent" val="33"/>
        <cfvo type="percent" val="67"/>
      </iconSet>
    </cfRule>
  </conditionalFormatting>
  <conditionalFormatting pivot="1" sqref="L3:L7">
    <cfRule type="colorScale" priority="4">
      <colorScale>
        <cfvo type="min"/>
        <cfvo type="max"/>
        <color rgb="FFF8696B"/>
        <color rgb="FFFCFCFF"/>
      </colorScale>
    </cfRule>
  </conditionalFormatting>
  <conditionalFormatting pivot="1" sqref="L3:L7">
    <cfRule type="iconSet" priority="3">
      <iconSet>
        <cfvo type="percent" val="0"/>
        <cfvo type="percent" val="33"/>
        <cfvo type="percent" val="67"/>
      </iconSet>
    </cfRule>
  </conditionalFormatting>
  <conditionalFormatting pivot="1" sqref="O3:O7">
    <cfRule type="iconSet" priority="2">
      <iconSet iconSet="5Quarters">
        <cfvo type="percent" val="0"/>
        <cfvo type="percent" val="20"/>
        <cfvo type="percent" val="40"/>
        <cfvo type="percent" val="60"/>
        <cfvo type="percent" val="80"/>
      </iconSet>
    </cfRule>
  </conditionalFormatting>
  <conditionalFormatting pivot="1" sqref="R3:R7">
    <cfRule type="colorScale" priority="1">
      <colorScale>
        <cfvo type="min"/>
        <cfvo type="max"/>
        <color rgb="FF63BE7B"/>
        <color rgb="FFFFEF9C"/>
      </colorScale>
    </cfRule>
  </conditionalFormatting>
  <pageMargins left="0.7" right="0.7" top="0.75" bottom="0.75" header="0.3" footer="0.3"/>
  <pageSetup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8C099-005C-4723-95CD-9253D251CDE4}">
  <sheetPr codeName="Sheet3"/>
  <dimension ref="A3:R96"/>
  <sheetViews>
    <sheetView workbookViewId="0">
      <selection activeCell="E24" sqref="E24"/>
    </sheetView>
  </sheetViews>
  <sheetFormatPr defaultRowHeight="15" x14ac:dyDescent="0.25"/>
  <cols>
    <col min="1" max="1" width="21.42578125" bestFit="1" customWidth="1"/>
    <col min="2" max="2" width="16.28515625" bestFit="1" customWidth="1"/>
    <col min="3" max="4" width="10.42578125" bestFit="1" customWidth="1"/>
    <col min="5" max="5" width="14.85546875" bestFit="1" customWidth="1"/>
    <col min="6" max="6" width="14.140625" style="5" bestFit="1" customWidth="1"/>
    <col min="7" max="7" width="2.7109375" customWidth="1"/>
    <col min="8" max="8" width="21" bestFit="1" customWidth="1"/>
    <col min="9" max="9" width="8" bestFit="1" customWidth="1"/>
    <col min="10" max="32" width="10.42578125" bestFit="1" customWidth="1"/>
    <col min="33" max="33" width="11.28515625" bestFit="1" customWidth="1"/>
    <col min="34" max="1345" width="8.140625" bestFit="1" customWidth="1"/>
    <col min="1346" max="1346" width="11.28515625" bestFit="1" customWidth="1"/>
  </cols>
  <sheetData>
    <row r="3" spans="1:18" x14ac:dyDescent="0.25">
      <c r="A3" s="1" t="s">
        <v>69</v>
      </c>
      <c r="B3" t="s">
        <v>68</v>
      </c>
      <c r="E3" s="6" t="s">
        <v>71</v>
      </c>
      <c r="F3" s="7">
        <f>GETPIVOTDATA("[Measures].[Sum of Daily_Pay]",$A$19)</f>
        <v>4810997.8999999976</v>
      </c>
      <c r="H3" s="6" t="s">
        <v>76</v>
      </c>
      <c r="I3" s="8">
        <f>GETPIVOTDATA("[Measures].[Sum of OT_Hours]",$A$22)</f>
        <v>1053.3100000000002</v>
      </c>
    </row>
    <row r="4" spans="1:18" x14ac:dyDescent="0.25">
      <c r="A4" s="2" t="s">
        <v>63</v>
      </c>
      <c r="B4" s="3">
        <v>259.58999999999992</v>
      </c>
      <c r="E4" s="6" t="s">
        <v>77</v>
      </c>
      <c r="F4" s="7">
        <f>GETPIVOTDATA("[Measures].[Average of Daily_Pay]",$A$25)</f>
        <v>3371.4070777855623</v>
      </c>
      <c r="H4" s="6" t="s">
        <v>79</v>
      </c>
      <c r="I4" s="8">
        <f>GETPIVOTDATA("[Measures].[Sum of Hours_Worked]",$A$28)</f>
        <v>12396.9</v>
      </c>
    </row>
    <row r="5" spans="1:18" x14ac:dyDescent="0.25">
      <c r="A5" s="2" t="s">
        <v>64</v>
      </c>
      <c r="B5" s="3">
        <v>141.16999999999993</v>
      </c>
    </row>
    <row r="6" spans="1:18" x14ac:dyDescent="0.25">
      <c r="A6" s="2" t="s">
        <v>65</v>
      </c>
      <c r="B6" s="3">
        <v>307.84000000000003</v>
      </c>
    </row>
    <row r="7" spans="1:18" x14ac:dyDescent="0.25">
      <c r="A7" s="2" t="s">
        <v>66</v>
      </c>
      <c r="B7" s="3">
        <v>130.85999999999999</v>
      </c>
    </row>
    <row r="8" spans="1:18" x14ac:dyDescent="0.25">
      <c r="A8" s="2" t="s">
        <v>67</v>
      </c>
      <c r="B8" s="3">
        <v>213.85</v>
      </c>
    </row>
    <row r="9" spans="1:18" x14ac:dyDescent="0.25">
      <c r="A9" s="2" t="s">
        <v>60</v>
      </c>
      <c r="B9" s="3">
        <v>1053.3100000000002</v>
      </c>
    </row>
    <row r="12" spans="1:18" x14ac:dyDescent="0.25">
      <c r="R12" t="s">
        <v>70</v>
      </c>
    </row>
    <row r="19" spans="1:1" x14ac:dyDescent="0.25">
      <c r="A19" t="s">
        <v>71</v>
      </c>
    </row>
    <row r="20" spans="1:1" x14ac:dyDescent="0.25">
      <c r="A20" s="4">
        <v>4810997.8999999976</v>
      </c>
    </row>
    <row r="22" spans="1:1" x14ac:dyDescent="0.25">
      <c r="A22" t="s">
        <v>73</v>
      </c>
    </row>
    <row r="23" spans="1:1" x14ac:dyDescent="0.25">
      <c r="A23" s="3">
        <v>1053.3100000000002</v>
      </c>
    </row>
    <row r="25" spans="1:1" x14ac:dyDescent="0.25">
      <c r="A25" t="s">
        <v>78</v>
      </c>
    </row>
    <row r="26" spans="1:1" x14ac:dyDescent="0.25">
      <c r="A26" s="4">
        <v>3371.4070777855623</v>
      </c>
    </row>
    <row r="28" spans="1:1" x14ac:dyDescent="0.25">
      <c r="A28" t="s">
        <v>80</v>
      </c>
    </row>
    <row r="29" spans="1:1" x14ac:dyDescent="0.25">
      <c r="A29" s="18">
        <v>12396.9</v>
      </c>
    </row>
    <row r="33" spans="1:2" x14ac:dyDescent="0.25">
      <c r="A33" s="1" t="s">
        <v>75</v>
      </c>
      <c r="B33" t="s" vm="1">
        <v>74</v>
      </c>
    </row>
    <row r="35" spans="1:2" x14ac:dyDescent="0.25">
      <c r="A35" s="1" t="s">
        <v>72</v>
      </c>
    </row>
    <row r="36" spans="1:2" x14ac:dyDescent="0.25">
      <c r="A36" s="2" t="s">
        <v>0</v>
      </c>
    </row>
    <row r="37" spans="1:2" x14ac:dyDescent="0.25">
      <c r="A37" s="2" t="s">
        <v>1</v>
      </c>
    </row>
    <row r="38" spans="1:2" x14ac:dyDescent="0.25">
      <c r="A38" s="2" t="s">
        <v>2</v>
      </c>
    </row>
    <row r="39" spans="1:2" x14ac:dyDescent="0.25">
      <c r="A39" s="2" t="s">
        <v>3</v>
      </c>
    </row>
    <row r="40" spans="1:2" x14ac:dyDescent="0.25">
      <c r="A40" s="2" t="s">
        <v>4</v>
      </c>
    </row>
    <row r="41" spans="1:2" x14ac:dyDescent="0.25">
      <c r="A41" s="2" t="s">
        <v>5</v>
      </c>
    </row>
    <row r="42" spans="1:2" x14ac:dyDescent="0.25">
      <c r="A42" s="2" t="s">
        <v>6</v>
      </c>
    </row>
    <row r="43" spans="1:2" x14ac:dyDescent="0.25">
      <c r="A43" s="2" t="s">
        <v>7</v>
      </c>
    </row>
    <row r="44" spans="1:2" x14ac:dyDescent="0.25">
      <c r="A44" s="2" t="s">
        <v>8</v>
      </c>
    </row>
    <row r="45" spans="1:2" x14ac:dyDescent="0.25">
      <c r="A45" s="2" t="s">
        <v>9</v>
      </c>
    </row>
    <row r="46" spans="1:2" x14ac:dyDescent="0.25">
      <c r="A46" s="2" t="s">
        <v>10</v>
      </c>
    </row>
    <row r="47" spans="1:2" x14ac:dyDescent="0.25">
      <c r="A47" s="2" t="s">
        <v>11</v>
      </c>
    </row>
    <row r="48" spans="1:2" x14ac:dyDescent="0.25">
      <c r="A48" s="2" t="s">
        <v>12</v>
      </c>
    </row>
    <row r="49" spans="1:1" x14ac:dyDescent="0.25">
      <c r="A49" s="2" t="s">
        <v>13</v>
      </c>
    </row>
    <row r="50" spans="1:1" x14ac:dyDescent="0.25">
      <c r="A50" s="2" t="s">
        <v>14</v>
      </c>
    </row>
    <row r="51" spans="1:1" x14ac:dyDescent="0.25">
      <c r="A51" s="2" t="s">
        <v>15</v>
      </c>
    </row>
    <row r="52" spans="1:1" x14ac:dyDescent="0.25">
      <c r="A52" s="2" t="s">
        <v>16</v>
      </c>
    </row>
    <row r="53" spans="1:1" x14ac:dyDescent="0.25">
      <c r="A53" s="2" t="s">
        <v>17</v>
      </c>
    </row>
    <row r="54" spans="1:1" x14ac:dyDescent="0.25">
      <c r="A54" s="2" t="s">
        <v>18</v>
      </c>
    </row>
    <row r="55" spans="1:1" x14ac:dyDescent="0.25">
      <c r="A55" s="2" t="s">
        <v>19</v>
      </c>
    </row>
    <row r="56" spans="1:1" x14ac:dyDescent="0.25">
      <c r="A56" s="2" t="s">
        <v>20</v>
      </c>
    </row>
    <row r="57" spans="1:1" x14ac:dyDescent="0.25">
      <c r="A57" s="2" t="s">
        <v>21</v>
      </c>
    </row>
    <row r="58" spans="1:1" x14ac:dyDescent="0.25">
      <c r="A58" s="2" t="s">
        <v>22</v>
      </c>
    </row>
    <row r="59" spans="1:1" x14ac:dyDescent="0.25">
      <c r="A59" s="2" t="s">
        <v>23</v>
      </c>
    </row>
    <row r="60" spans="1:1" x14ac:dyDescent="0.25">
      <c r="A60" s="2" t="s">
        <v>24</v>
      </c>
    </row>
    <row r="61" spans="1:1" x14ac:dyDescent="0.25">
      <c r="A61" s="2" t="s">
        <v>25</v>
      </c>
    </row>
    <row r="62" spans="1:1" x14ac:dyDescent="0.25">
      <c r="A62" s="2" t="s">
        <v>26</v>
      </c>
    </row>
    <row r="63" spans="1:1" x14ac:dyDescent="0.25">
      <c r="A63" s="2" t="s">
        <v>27</v>
      </c>
    </row>
    <row r="64" spans="1:1" x14ac:dyDescent="0.25">
      <c r="A64" s="2" t="s">
        <v>28</v>
      </c>
    </row>
    <row r="65" spans="1:1" x14ac:dyDescent="0.25">
      <c r="A65" s="2" t="s">
        <v>29</v>
      </c>
    </row>
    <row r="66" spans="1:1" x14ac:dyDescent="0.25">
      <c r="A66" s="2" t="s">
        <v>30</v>
      </c>
    </row>
    <row r="67" spans="1:1" x14ac:dyDescent="0.25">
      <c r="A67" s="2" t="s">
        <v>31</v>
      </c>
    </row>
    <row r="68" spans="1:1" x14ac:dyDescent="0.25">
      <c r="A68" s="2" t="s">
        <v>32</v>
      </c>
    </row>
    <row r="69" spans="1:1" x14ac:dyDescent="0.25">
      <c r="A69" s="2" t="s">
        <v>33</v>
      </c>
    </row>
    <row r="70" spans="1:1" x14ac:dyDescent="0.25">
      <c r="A70" s="2" t="s">
        <v>34</v>
      </c>
    </row>
    <row r="71" spans="1:1" x14ac:dyDescent="0.25">
      <c r="A71" s="2" t="s">
        <v>35</v>
      </c>
    </row>
    <row r="72" spans="1:1" x14ac:dyDescent="0.25">
      <c r="A72" s="2" t="s">
        <v>36</v>
      </c>
    </row>
    <row r="73" spans="1:1" x14ac:dyDescent="0.25">
      <c r="A73" s="2" t="s">
        <v>37</v>
      </c>
    </row>
    <row r="74" spans="1:1" x14ac:dyDescent="0.25">
      <c r="A74" s="2" t="s">
        <v>38</v>
      </c>
    </row>
    <row r="75" spans="1:1" x14ac:dyDescent="0.25">
      <c r="A75" s="2" t="s">
        <v>39</v>
      </c>
    </row>
    <row r="76" spans="1:1" x14ac:dyDescent="0.25">
      <c r="A76" s="2" t="s">
        <v>40</v>
      </c>
    </row>
    <row r="77" spans="1:1" x14ac:dyDescent="0.25">
      <c r="A77" s="2" t="s">
        <v>41</v>
      </c>
    </row>
    <row r="78" spans="1:1" x14ac:dyDescent="0.25">
      <c r="A78" s="2" t="s">
        <v>42</v>
      </c>
    </row>
    <row r="79" spans="1:1" x14ac:dyDescent="0.25">
      <c r="A79" s="2" t="s">
        <v>43</v>
      </c>
    </row>
    <row r="80" spans="1:1" x14ac:dyDescent="0.25">
      <c r="A80" s="2" t="s">
        <v>44</v>
      </c>
    </row>
    <row r="81" spans="1:1" x14ac:dyDescent="0.25">
      <c r="A81" s="2" t="s">
        <v>45</v>
      </c>
    </row>
    <row r="82" spans="1:1" x14ac:dyDescent="0.25">
      <c r="A82" s="2" t="s">
        <v>46</v>
      </c>
    </row>
    <row r="83" spans="1:1" x14ac:dyDescent="0.25">
      <c r="A83" s="2" t="s">
        <v>47</v>
      </c>
    </row>
    <row r="84" spans="1:1" x14ac:dyDescent="0.25">
      <c r="A84" s="2" t="s">
        <v>48</v>
      </c>
    </row>
    <row r="85" spans="1:1" x14ac:dyDescent="0.25">
      <c r="A85" s="2" t="s">
        <v>49</v>
      </c>
    </row>
    <row r="86" spans="1:1" x14ac:dyDescent="0.25">
      <c r="A86" s="2" t="s">
        <v>50</v>
      </c>
    </row>
    <row r="87" spans="1:1" x14ac:dyDescent="0.25">
      <c r="A87" s="2" t="s">
        <v>51</v>
      </c>
    </row>
    <row r="88" spans="1:1" x14ac:dyDescent="0.25">
      <c r="A88" s="2" t="s">
        <v>52</v>
      </c>
    </row>
    <row r="89" spans="1:1" x14ac:dyDescent="0.25">
      <c r="A89" s="2" t="s">
        <v>53</v>
      </c>
    </row>
    <row r="90" spans="1:1" x14ac:dyDescent="0.25">
      <c r="A90" s="2" t="s">
        <v>54</v>
      </c>
    </row>
    <row r="91" spans="1:1" x14ac:dyDescent="0.25">
      <c r="A91" s="2" t="s">
        <v>55</v>
      </c>
    </row>
    <row r="92" spans="1:1" x14ac:dyDescent="0.25">
      <c r="A92" s="2" t="s">
        <v>56</v>
      </c>
    </row>
    <row r="93" spans="1:1" x14ac:dyDescent="0.25">
      <c r="A93" s="2" t="s">
        <v>57</v>
      </c>
    </row>
    <row r="94" spans="1:1" x14ac:dyDescent="0.25">
      <c r="A94" s="2" t="s">
        <v>58</v>
      </c>
    </row>
    <row r="95" spans="1:1" x14ac:dyDescent="0.25">
      <c r="A95" s="2" t="s">
        <v>59</v>
      </c>
    </row>
    <row r="96" spans="1:1" x14ac:dyDescent="0.25">
      <c r="A96" s="2" t="s">
        <v>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6A5D2570-BBE6-40D8-A5D5-4A7C3EB820D9}">
  <ds:schemaRefs/>
</ds:datastoreItem>
</file>

<file path=customXml/itemProps2.xml><?xml version="1.0" encoding="utf-8"?>
<ds:datastoreItem xmlns:ds="http://schemas.openxmlformats.org/officeDocument/2006/customXml" ds:itemID="{0FE9A9B1-4799-4547-BA72-8F289CA127A3}">
  <ds:schemaRefs/>
</ds:datastoreItem>
</file>

<file path=customXml/itemProps3.xml><?xml version="1.0" encoding="utf-8"?>
<ds:datastoreItem xmlns:ds="http://schemas.openxmlformats.org/officeDocument/2006/customXml" ds:itemID="{5B2294B5-3E16-45F8-B88C-6A3EEFBF4C49}">
  <ds:schemaRefs/>
</ds:datastoreItem>
</file>

<file path=customXml/itemProps4.xml><?xml version="1.0" encoding="utf-8"?>
<ds:datastoreItem xmlns:ds="http://schemas.openxmlformats.org/officeDocument/2006/customXml" ds:itemID="{1653C07C-A97F-4C6D-9FAD-DAA6A8FBDDCB}">
  <ds:schemaRefs/>
</ds:datastoreItem>
</file>

<file path=customXml/itemProps5.xml><?xml version="1.0" encoding="utf-8"?>
<ds:datastoreItem xmlns:ds="http://schemas.openxmlformats.org/officeDocument/2006/customXml" ds:itemID="{97278F6E-74D8-4253-91F5-0FFF89983E5C}">
  <ds:schemaRefs/>
</ds:datastoreItem>
</file>

<file path=customXml/itemProps6.xml><?xml version="1.0" encoding="utf-8"?>
<ds:datastoreItem xmlns:ds="http://schemas.openxmlformats.org/officeDocument/2006/customXml" ds:itemID="{12B27C5C-D16D-4705-B2C2-0658A09C7F3B}">
  <ds:schemaRefs/>
</ds:datastoreItem>
</file>

<file path=customXml/itemProps7.xml><?xml version="1.0" encoding="utf-8"?>
<ds:datastoreItem xmlns:ds="http://schemas.openxmlformats.org/officeDocument/2006/customXml" ds:itemID="{5F3819EA-4961-4CB0-8532-0DFB8AC37334}">
  <ds:schemaRefs/>
</ds:datastoreItem>
</file>

<file path=customXml/itemProps8.xml><?xml version="1.0" encoding="utf-8"?>
<ds:datastoreItem xmlns:ds="http://schemas.openxmlformats.org/officeDocument/2006/customXml" ds:itemID="{8A6D5947-B3AC-48D4-8443-363A192CC935}">
  <ds:schemaRefs/>
</ds:datastoreItem>
</file>

<file path=customXml/itemProps9.xml><?xml version="1.0" encoding="utf-8"?>
<ds:datastoreItem xmlns:ds="http://schemas.openxmlformats.org/officeDocument/2006/customXml" ds:itemID="{90CD1011-854D-42A6-BA66-39D9B0F59481}">
  <ds:schemaRefs/>
</ds:datastoreItem>
</file>

<file path=customXml/itemProps10.xml><?xml version="1.0" encoding="utf-8"?>
<ds:datastoreItem xmlns:ds="http://schemas.openxmlformats.org/officeDocument/2006/customXml" ds:itemID="{AD76A123-9573-4E0E-96AA-B780DA4A6890}">
  <ds:schemaRefs/>
</ds:datastoreItem>
</file>

<file path=customXml/itemProps11.xml><?xml version="1.0" encoding="utf-8"?>
<ds:datastoreItem xmlns:ds="http://schemas.openxmlformats.org/officeDocument/2006/customXml" ds:itemID="{222563B8-98BC-439C-AFE1-EC950A6745BF}">
  <ds:schemaRefs/>
</ds:datastoreItem>
</file>

<file path=customXml/itemProps12.xml><?xml version="1.0" encoding="utf-8"?>
<ds:datastoreItem xmlns:ds="http://schemas.openxmlformats.org/officeDocument/2006/customXml" ds:itemID="{2DD2BE57-CE0C-4C76-892B-B429C5A35B07}">
  <ds:schemaRefs/>
</ds:datastoreItem>
</file>

<file path=customXml/itemProps13.xml><?xml version="1.0" encoding="utf-8"?>
<ds:datastoreItem xmlns:ds="http://schemas.openxmlformats.org/officeDocument/2006/customXml" ds:itemID="{AF872191-6E3C-42CA-84AF-37DF2585284A}">
  <ds:schemaRefs/>
</ds:datastoreItem>
</file>

<file path=customXml/itemProps14.xml><?xml version="1.0" encoding="utf-8"?>
<ds:datastoreItem xmlns:ds="http://schemas.openxmlformats.org/officeDocument/2006/customXml" ds:itemID="{EE6F6B13-F8A6-49C1-93C8-A8F291811092}">
  <ds:schemaRefs/>
</ds:datastoreItem>
</file>

<file path=customXml/itemProps15.xml><?xml version="1.0" encoding="utf-8"?>
<ds:datastoreItem xmlns:ds="http://schemas.openxmlformats.org/officeDocument/2006/customXml" ds:itemID="{C3778559-0D50-4555-8183-E8C6AD8A8C03}">
  <ds:schemaRefs/>
</ds:datastoreItem>
</file>

<file path=customXml/itemProps16.xml><?xml version="1.0" encoding="utf-8"?>
<ds:datastoreItem xmlns:ds="http://schemas.openxmlformats.org/officeDocument/2006/customXml" ds:itemID="{3BBBA6AF-956C-4025-A5C2-5681BA3F3EC8}">
  <ds:schemaRefs/>
</ds:datastoreItem>
</file>

<file path=customXml/itemProps17.xml><?xml version="1.0" encoding="utf-8"?>
<ds:datastoreItem xmlns:ds="http://schemas.openxmlformats.org/officeDocument/2006/customXml" ds:itemID="{57C7A3E9-AD10-4D2A-8DB1-A9084F68A056}">
  <ds:schemaRefs/>
</ds:datastoreItem>
</file>

<file path=customXml/itemProps18.xml><?xml version="1.0" encoding="utf-8"?>
<ds:datastoreItem xmlns:ds="http://schemas.openxmlformats.org/officeDocument/2006/customXml" ds:itemID="{357A7D0B-07B6-4BD1-A173-8D81288487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Executive Dashboard</vt:lpstr>
      <vt:lpstr>Payroll_Report</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jainkaranwork@gmail.com</dc:creator>
  <cp:lastModifiedBy>jainkaranwork@gmail.com</cp:lastModifiedBy>
  <cp:lastPrinted>2026-08-19T17:11:29Z</cp:lastPrinted>
  <dcterms:created xsi:type="dcterms:W3CDTF">2026-08-19T12:18:28Z</dcterms:created>
  <dcterms:modified xsi:type="dcterms:W3CDTF">2026-08-19T17:59:47Z</dcterms:modified>
</cp:coreProperties>
</file>